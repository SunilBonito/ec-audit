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8_{CF01A98E-B6EA-486C-A3F5-E8CF8529A05A}" xr6:coauthVersionLast="47" xr6:coauthVersionMax="47" xr10:uidLastSave="{00000000-0000-0000-0000-000000000000}"/>
  <bookViews>
    <workbookView xWindow="-108" yWindow="-108" windowWidth="23256" windowHeight="12456" tabRatio="826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8" i="2" l="1"/>
  <c r="M152" i="2"/>
  <c r="F17" i="1"/>
  <c r="F11" i="1"/>
  <c r="E11" i="1"/>
  <c r="D11" i="1"/>
  <c r="F12" i="1"/>
  <c r="M16" i="8"/>
  <c r="V16" i="8"/>
  <c r="AE16" i="8"/>
  <c r="AN16" i="8"/>
  <c r="AW16" i="8"/>
  <c r="M6" i="7"/>
  <c r="V6" i="7"/>
  <c r="AE6" i="7"/>
  <c r="AN6" i="7"/>
  <c r="AW6" i="7"/>
  <c r="M7" i="7"/>
  <c r="V7" i="7"/>
  <c r="AE7" i="7"/>
  <c r="M11" i="1" s="1"/>
  <c r="AN7" i="7"/>
  <c r="AW7" i="7"/>
  <c r="M8" i="7"/>
  <c r="V8" i="7"/>
  <c r="AE8" i="7"/>
  <c r="AN8" i="7"/>
  <c r="P11" i="1" s="1"/>
  <c r="AW8" i="7"/>
  <c r="M9" i="7"/>
  <c r="V9" i="7"/>
  <c r="AE9" i="7"/>
  <c r="AN9" i="7"/>
  <c r="AW9" i="7"/>
  <c r="M10" i="7"/>
  <c r="V10" i="7"/>
  <c r="I11" i="1" s="1"/>
  <c r="AE10" i="7"/>
  <c r="AN10" i="7"/>
  <c r="AW10" i="7"/>
  <c r="M11" i="7"/>
  <c r="V11" i="7"/>
  <c r="AE11" i="7"/>
  <c r="AN11" i="7"/>
  <c r="AW11" i="7"/>
  <c r="M12" i="7"/>
  <c r="V12" i="7"/>
  <c r="AE12" i="7"/>
  <c r="AN12" i="7"/>
  <c r="AW12" i="7"/>
  <c r="M13" i="7"/>
  <c r="V13" i="7"/>
  <c r="AE13" i="7"/>
  <c r="AN13" i="7"/>
  <c r="AW13" i="7"/>
  <c r="M14" i="7"/>
  <c r="V14" i="7"/>
  <c r="AE14" i="7"/>
  <c r="AN14" i="7"/>
  <c r="AW14" i="7"/>
  <c r="M15" i="7"/>
  <c r="V15" i="7"/>
  <c r="AE15" i="7"/>
  <c r="AN15" i="7"/>
  <c r="AW15" i="7"/>
  <c r="M16" i="7"/>
  <c r="V16" i="7"/>
  <c r="AE16" i="7"/>
  <c r="AN16" i="7"/>
  <c r="AW16" i="7"/>
  <c r="M17" i="7"/>
  <c r="V17" i="7"/>
  <c r="AE17" i="7"/>
  <c r="AN17" i="7"/>
  <c r="AW17" i="7"/>
  <c r="M18" i="7"/>
  <c r="V18" i="7"/>
  <c r="AE18" i="7"/>
  <c r="AN18" i="7"/>
  <c r="AW18" i="7"/>
  <c r="M19" i="7"/>
  <c r="V19" i="7"/>
  <c r="AE19" i="7"/>
  <c r="AN19" i="7"/>
  <c r="AW19" i="7"/>
  <c r="M20" i="7"/>
  <c r="V20" i="7"/>
  <c r="AE20" i="7"/>
  <c r="AN20" i="7"/>
  <c r="AW20" i="7"/>
  <c r="M21" i="7"/>
  <c r="V21" i="7"/>
  <c r="AE21" i="7"/>
  <c r="AN21" i="7"/>
  <c r="AW21" i="7"/>
  <c r="M22" i="7"/>
  <c r="V22" i="7"/>
  <c r="AE22" i="7"/>
  <c r="AN22" i="7"/>
  <c r="AW22" i="7"/>
  <c r="M23" i="7"/>
  <c r="V23" i="7"/>
  <c r="AE23" i="7"/>
  <c r="AN23" i="7"/>
  <c r="AW23" i="7"/>
  <c r="M24" i="7"/>
  <c r="V24" i="7"/>
  <c r="AE24" i="7"/>
  <c r="AN24" i="7"/>
  <c r="AW24" i="7"/>
  <c r="M25" i="7"/>
  <c r="V25" i="7"/>
  <c r="AE25" i="7"/>
  <c r="AN25" i="7"/>
  <c r="AW25" i="7"/>
  <c r="M26" i="7"/>
  <c r="V26" i="7"/>
  <c r="AE26" i="7"/>
  <c r="AN26" i="7"/>
  <c r="AW26" i="7"/>
  <c r="M27" i="7"/>
  <c r="V27" i="7"/>
  <c r="AE27" i="7"/>
  <c r="AN27" i="7"/>
  <c r="AW27" i="7"/>
  <c r="M28" i="7"/>
  <c r="V28" i="7"/>
  <c r="AE28" i="7"/>
  <c r="AN28" i="7"/>
  <c r="AW28" i="7"/>
  <c r="M29" i="7"/>
  <c r="V29" i="7"/>
  <c r="AE29" i="7"/>
  <c r="AN29" i="7"/>
  <c r="AW29" i="7"/>
  <c r="M30" i="7"/>
  <c r="V30" i="7"/>
  <c r="AE30" i="7"/>
  <c r="AN30" i="7"/>
  <c r="AW30" i="7"/>
  <c r="M31" i="7"/>
  <c r="V31" i="7"/>
  <c r="AE31" i="7"/>
  <c r="AN31" i="7"/>
  <c r="AW31" i="7"/>
  <c r="M32" i="7"/>
  <c r="V32" i="7"/>
  <c r="AE32" i="7"/>
  <c r="AN32" i="7"/>
  <c r="AW32" i="7"/>
  <c r="M33" i="7"/>
  <c r="V33" i="7"/>
  <c r="AE33" i="7"/>
  <c r="AN33" i="7"/>
  <c r="AW33" i="7"/>
  <c r="M34" i="7"/>
  <c r="V34" i="7"/>
  <c r="AE34" i="7"/>
  <c r="AN34" i="7"/>
  <c r="AW34" i="7"/>
  <c r="M35" i="7"/>
  <c r="V35" i="7"/>
  <c r="AE35" i="7"/>
  <c r="AN35" i="7"/>
  <c r="AW35" i="7"/>
  <c r="M36" i="7"/>
  <c r="V36" i="7"/>
  <c r="AE36" i="7"/>
  <c r="AN36" i="7"/>
  <c r="AW36" i="7"/>
  <c r="M37" i="7"/>
  <c r="V37" i="7"/>
  <c r="AE37" i="7"/>
  <c r="AN37" i="7"/>
  <c r="AW37" i="7"/>
  <c r="M38" i="7"/>
  <c r="V38" i="7"/>
  <c r="AE38" i="7"/>
  <c r="AN38" i="7"/>
  <c r="AW38" i="7"/>
  <c r="M39" i="7"/>
  <c r="V39" i="7"/>
  <c r="AE39" i="7"/>
  <c r="AN39" i="7"/>
  <c r="AW39" i="7"/>
  <c r="M40" i="7"/>
  <c r="V40" i="7"/>
  <c r="AE40" i="7"/>
  <c r="AN40" i="7"/>
  <c r="AW40" i="7"/>
  <c r="M41" i="7"/>
  <c r="V41" i="7"/>
  <c r="AE41" i="7"/>
  <c r="AN41" i="7"/>
  <c r="AW41" i="7"/>
  <c r="M42" i="7"/>
  <c r="V42" i="7"/>
  <c r="AE42" i="7"/>
  <c r="AN42" i="7"/>
  <c r="AW42" i="7"/>
  <c r="M43" i="7"/>
  <c r="V43" i="7"/>
  <c r="AE43" i="7"/>
  <c r="AN43" i="7"/>
  <c r="AW43" i="7"/>
  <c r="M44" i="7"/>
  <c r="V44" i="7"/>
  <c r="AE44" i="7"/>
  <c r="AN44" i="7"/>
  <c r="AW44" i="7"/>
  <c r="M45" i="7"/>
  <c r="V45" i="7"/>
  <c r="AE45" i="7"/>
  <c r="AN45" i="7"/>
  <c r="AW45" i="7"/>
  <c r="M46" i="7"/>
  <c r="V46" i="7"/>
  <c r="AE46" i="7"/>
  <c r="AN46" i="7"/>
  <c r="AW46" i="7"/>
  <c r="M47" i="7"/>
  <c r="V47" i="7"/>
  <c r="AE47" i="7"/>
  <c r="AN47" i="7"/>
  <c r="AW47" i="7"/>
  <c r="M48" i="7"/>
  <c r="V48" i="7"/>
  <c r="AE48" i="7"/>
  <c r="AN48" i="7"/>
  <c r="AW48" i="7"/>
  <c r="M49" i="7"/>
  <c r="V49" i="7"/>
  <c r="AE49" i="7"/>
  <c r="AN49" i="7"/>
  <c r="AW49" i="7"/>
  <c r="M50" i="7"/>
  <c r="V50" i="7"/>
  <c r="AE50" i="7"/>
  <c r="AN50" i="7"/>
  <c r="AW50" i="7"/>
  <c r="M51" i="7"/>
  <c r="V51" i="7"/>
  <c r="AE51" i="7"/>
  <c r="AN51" i="7"/>
  <c r="AW51" i="7"/>
  <c r="M52" i="7"/>
  <c r="V52" i="7"/>
  <c r="AE52" i="7"/>
  <c r="AN52" i="7"/>
  <c r="AW52" i="7"/>
  <c r="M53" i="7"/>
  <c r="V53" i="7"/>
  <c r="AE53" i="7"/>
  <c r="AN53" i="7"/>
  <c r="AW53" i="7"/>
  <c r="M54" i="7"/>
  <c r="V54" i="7"/>
  <c r="AE54" i="7"/>
  <c r="AN54" i="7"/>
  <c r="AW54" i="7"/>
  <c r="M55" i="7"/>
  <c r="V55" i="7"/>
  <c r="AE55" i="7"/>
  <c r="AN55" i="7"/>
  <c r="AW55" i="7"/>
  <c r="M56" i="7"/>
  <c r="V56" i="7"/>
  <c r="AE56" i="7"/>
  <c r="AN56" i="7"/>
  <c r="AW56" i="7"/>
  <c r="M57" i="7"/>
  <c r="V57" i="7"/>
  <c r="AE57" i="7"/>
  <c r="AN57" i="7"/>
  <c r="AW57" i="7"/>
  <c r="M58" i="7"/>
  <c r="V58" i="7"/>
  <c r="AE58" i="7"/>
  <c r="AN58" i="7"/>
  <c r="AW58" i="7"/>
  <c r="M59" i="7"/>
  <c r="V59" i="7"/>
  <c r="AE59" i="7"/>
  <c r="AN59" i="7"/>
  <c r="AW59" i="7"/>
  <c r="M60" i="7"/>
  <c r="V60" i="7"/>
  <c r="AE60" i="7"/>
  <c r="AN60" i="7"/>
  <c r="AW60" i="7"/>
  <c r="M61" i="7"/>
  <c r="V61" i="7"/>
  <c r="AE61" i="7"/>
  <c r="AN61" i="7"/>
  <c r="AW61" i="7"/>
  <c r="M62" i="7"/>
  <c r="V62" i="7"/>
  <c r="AE62" i="7"/>
  <c r="AN62" i="7"/>
  <c r="AW62" i="7"/>
  <c r="M63" i="7"/>
  <c r="V63" i="7"/>
  <c r="AE63" i="7"/>
  <c r="AN63" i="7"/>
  <c r="AW63" i="7"/>
  <c r="M64" i="7"/>
  <c r="V64" i="7"/>
  <c r="AE64" i="7"/>
  <c r="AN64" i="7"/>
  <c r="AW64" i="7"/>
  <c r="M65" i="7"/>
  <c r="V65" i="7"/>
  <c r="AE65" i="7"/>
  <c r="AN65" i="7"/>
  <c r="AW65" i="7"/>
  <c r="M66" i="7"/>
  <c r="V66" i="7"/>
  <c r="AE66" i="7"/>
  <c r="AN66" i="7"/>
  <c r="AW66" i="7"/>
  <c r="M67" i="7"/>
  <c r="V67" i="7"/>
  <c r="AE67" i="7"/>
  <c r="AN67" i="7"/>
  <c r="AW67" i="7"/>
  <c r="M68" i="7"/>
  <c r="V68" i="7"/>
  <c r="AE68" i="7"/>
  <c r="AN68" i="7"/>
  <c r="AW68" i="7"/>
  <c r="M69" i="7"/>
  <c r="V69" i="7"/>
  <c r="AE69" i="7"/>
  <c r="AN69" i="7"/>
  <c r="AW69" i="7"/>
  <c r="M70" i="7"/>
  <c r="V70" i="7"/>
  <c r="AE70" i="7"/>
  <c r="AN70" i="7"/>
  <c r="AW70" i="7"/>
  <c r="M71" i="7"/>
  <c r="V71" i="7"/>
  <c r="AE71" i="7"/>
  <c r="AN71" i="7"/>
  <c r="AW71" i="7"/>
  <c r="M72" i="7"/>
  <c r="V72" i="7"/>
  <c r="AE72" i="7"/>
  <c r="AN72" i="7"/>
  <c r="AW72" i="7"/>
  <c r="M73" i="7"/>
  <c r="V73" i="7"/>
  <c r="AE73" i="7"/>
  <c r="AN73" i="7"/>
  <c r="AW73" i="7"/>
  <c r="M74" i="7"/>
  <c r="V74" i="7"/>
  <c r="AE74" i="7"/>
  <c r="AN74" i="7"/>
  <c r="AW74" i="7"/>
  <c r="M75" i="7"/>
  <c r="V75" i="7"/>
  <c r="AE75" i="7"/>
  <c r="AN75" i="7"/>
  <c r="AW75" i="7"/>
  <c r="M76" i="7"/>
  <c r="V76" i="7"/>
  <c r="AE76" i="7"/>
  <c r="AN76" i="7"/>
  <c r="AW76" i="7"/>
  <c r="M77" i="7"/>
  <c r="V77" i="7"/>
  <c r="AE77" i="7"/>
  <c r="AN77" i="7"/>
  <c r="AW77" i="7"/>
  <c r="M78" i="7"/>
  <c r="V78" i="7"/>
  <c r="AE78" i="7"/>
  <c r="AN78" i="7"/>
  <c r="AW78" i="7"/>
  <c r="M79" i="7"/>
  <c r="V79" i="7"/>
  <c r="AE79" i="7"/>
  <c r="AN79" i="7"/>
  <c r="AW79" i="7"/>
  <c r="M80" i="7"/>
  <c r="V80" i="7"/>
  <c r="AE80" i="7"/>
  <c r="AN80" i="7"/>
  <c r="AW80" i="7"/>
  <c r="M81" i="7"/>
  <c r="V81" i="7"/>
  <c r="AE81" i="7"/>
  <c r="AN81" i="7"/>
  <c r="AW81" i="7"/>
  <c r="M82" i="7"/>
  <c r="V82" i="7"/>
  <c r="AE82" i="7"/>
  <c r="AN82" i="7"/>
  <c r="AW82" i="7"/>
  <c r="M83" i="7"/>
  <c r="V83" i="7"/>
  <c r="AE83" i="7"/>
  <c r="AN83" i="7"/>
  <c r="AW83" i="7"/>
  <c r="M84" i="7"/>
  <c r="V84" i="7"/>
  <c r="AE84" i="7"/>
  <c r="AN84" i="7"/>
  <c r="AW84" i="7"/>
  <c r="M85" i="7"/>
  <c r="V85" i="7"/>
  <c r="AE85" i="7"/>
  <c r="AN85" i="7"/>
  <c r="AW85" i="7"/>
  <c r="M86" i="7"/>
  <c r="V86" i="7"/>
  <c r="AE86" i="7"/>
  <c r="AN86" i="7"/>
  <c r="AW86" i="7"/>
  <c r="M87" i="7"/>
  <c r="V87" i="7"/>
  <c r="AE87" i="7"/>
  <c r="AN87" i="7"/>
  <c r="AW87" i="7"/>
  <c r="M88" i="7"/>
  <c r="V88" i="7"/>
  <c r="AE88" i="7"/>
  <c r="AN88" i="7"/>
  <c r="AW88" i="7"/>
  <c r="M89" i="7"/>
  <c r="V89" i="7"/>
  <c r="AE89" i="7"/>
  <c r="AN89" i="7"/>
  <c r="AW89" i="7"/>
  <c r="M90" i="7"/>
  <c r="V90" i="7"/>
  <c r="AE90" i="7"/>
  <c r="AN90" i="7"/>
  <c r="AW90" i="7"/>
  <c r="M91" i="7"/>
  <c r="V91" i="7"/>
  <c r="AE91" i="7"/>
  <c r="AN91" i="7"/>
  <c r="AW91" i="7"/>
  <c r="M92" i="7"/>
  <c r="V92" i="7"/>
  <c r="AE92" i="7"/>
  <c r="AN92" i="7"/>
  <c r="AW92" i="7"/>
  <c r="M93" i="7"/>
  <c r="V93" i="7"/>
  <c r="AE93" i="7"/>
  <c r="AN93" i="7"/>
  <c r="AW93" i="7"/>
  <c r="M94" i="7"/>
  <c r="V94" i="7"/>
  <c r="AE94" i="7"/>
  <c r="AN94" i="7"/>
  <c r="AW94" i="7"/>
  <c r="M95" i="7"/>
  <c r="V95" i="7"/>
  <c r="AE95" i="7"/>
  <c r="AN95" i="7"/>
  <c r="AW95" i="7"/>
  <c r="M96" i="7"/>
  <c r="V96" i="7"/>
  <c r="AE96" i="7"/>
  <c r="AN96" i="7"/>
  <c r="AW96" i="7"/>
  <c r="M97" i="7"/>
  <c r="V97" i="7"/>
  <c r="AE97" i="7"/>
  <c r="AN97" i="7"/>
  <c r="AW97" i="7"/>
  <c r="M98" i="7"/>
  <c r="V98" i="7"/>
  <c r="AE98" i="7"/>
  <c r="AN98" i="7"/>
  <c r="AW98" i="7"/>
  <c r="M99" i="7"/>
  <c r="V99" i="7"/>
  <c r="AE99" i="7"/>
  <c r="AN99" i="7"/>
  <c r="AW99" i="7"/>
  <c r="M100" i="7"/>
  <c r="V100" i="7"/>
  <c r="AE100" i="7"/>
  <c r="AN100" i="7"/>
  <c r="AW100" i="7"/>
  <c r="M101" i="7"/>
  <c r="V101" i="7"/>
  <c r="AE101" i="7"/>
  <c r="AN101" i="7"/>
  <c r="AW101" i="7"/>
  <c r="M102" i="7"/>
  <c r="V102" i="7"/>
  <c r="AE102" i="7"/>
  <c r="AN102" i="7"/>
  <c r="AW102" i="7"/>
  <c r="M103" i="7"/>
  <c r="V103" i="7"/>
  <c r="AE103" i="7"/>
  <c r="AN103" i="7"/>
  <c r="AW103" i="7"/>
  <c r="M104" i="7"/>
  <c r="V104" i="7"/>
  <c r="AE104" i="7"/>
  <c r="AN104" i="7"/>
  <c r="AW104" i="7"/>
  <c r="M105" i="7"/>
  <c r="V105" i="7"/>
  <c r="AE105" i="7"/>
  <c r="AN105" i="7"/>
  <c r="AW105" i="7"/>
  <c r="M106" i="7"/>
  <c r="V106" i="7"/>
  <c r="AE106" i="7"/>
  <c r="AN106" i="7"/>
  <c r="AW106" i="7"/>
  <c r="M107" i="7"/>
  <c r="V107" i="7"/>
  <c r="AE107" i="7"/>
  <c r="AN107" i="7"/>
  <c r="AW107" i="7"/>
  <c r="M108" i="7"/>
  <c r="V108" i="7"/>
  <c r="AE108" i="7"/>
  <c r="AN108" i="7"/>
  <c r="AW108" i="7"/>
  <c r="M109" i="7"/>
  <c r="V109" i="7"/>
  <c r="AE109" i="7"/>
  <c r="AN109" i="7"/>
  <c r="AW109" i="7"/>
  <c r="M110" i="7"/>
  <c r="V110" i="7"/>
  <c r="AE110" i="7"/>
  <c r="AN110" i="7"/>
  <c r="AW110" i="7"/>
  <c r="M111" i="7"/>
  <c r="V111" i="7"/>
  <c r="AE111" i="7"/>
  <c r="AN111" i="7"/>
  <c r="AW111" i="7"/>
  <c r="M112" i="7"/>
  <c r="V112" i="7"/>
  <c r="AE112" i="7"/>
  <c r="AN112" i="7"/>
  <c r="AW112" i="7"/>
  <c r="M113" i="7"/>
  <c r="V113" i="7"/>
  <c r="AE113" i="7"/>
  <c r="AN113" i="7"/>
  <c r="AW113" i="7"/>
  <c r="M114" i="7"/>
  <c r="V114" i="7"/>
  <c r="AE114" i="7"/>
  <c r="AN114" i="7"/>
  <c r="AW114" i="7"/>
  <c r="M115" i="7"/>
  <c r="V115" i="7"/>
  <c r="AE115" i="7"/>
  <c r="AN115" i="7"/>
  <c r="AW115" i="7"/>
  <c r="M116" i="7"/>
  <c r="V116" i="7"/>
  <c r="AE116" i="7"/>
  <c r="AN116" i="7"/>
  <c r="AW116" i="7"/>
  <c r="M117" i="7"/>
  <c r="V117" i="7"/>
  <c r="AE117" i="7"/>
  <c r="AN117" i="7"/>
  <c r="AW117" i="7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Q14" i="1" s="1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U14" i="1" s="1"/>
  <c r="AN6" i="10"/>
  <c r="AE6" i="10"/>
  <c r="V6" i="10"/>
  <c r="M6" i="10"/>
  <c r="AW5" i="10"/>
  <c r="AN5" i="10"/>
  <c r="AE5" i="10"/>
  <c r="V5" i="10"/>
  <c r="H14" i="1" s="1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U13" i="1" s="1"/>
  <c r="AN12" i="9"/>
  <c r="AE12" i="9"/>
  <c r="V12" i="9"/>
  <c r="M12" i="9"/>
  <c r="AW11" i="9"/>
  <c r="AN11" i="9"/>
  <c r="AE11" i="9"/>
  <c r="V11" i="9"/>
  <c r="I13" i="1" s="1"/>
  <c r="M11" i="9"/>
  <c r="AW10" i="9"/>
  <c r="AN10" i="9"/>
  <c r="AE10" i="9"/>
  <c r="V10" i="9"/>
  <c r="M10" i="9"/>
  <c r="AW9" i="9"/>
  <c r="AN9" i="9"/>
  <c r="Q13" i="1" s="1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M13" i="1" s="1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P12" i="1" s="1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L12" i="1" s="1"/>
  <c r="V9" i="8"/>
  <c r="M9" i="8"/>
  <c r="AW8" i="8"/>
  <c r="AN8" i="8"/>
  <c r="AE8" i="8"/>
  <c r="V8" i="8"/>
  <c r="M8" i="8"/>
  <c r="AW7" i="8"/>
  <c r="U12" i="1" s="1"/>
  <c r="AN7" i="8"/>
  <c r="AE7" i="8"/>
  <c r="V7" i="8"/>
  <c r="M7" i="8"/>
  <c r="AW6" i="8"/>
  <c r="AN6" i="8"/>
  <c r="AE6" i="8"/>
  <c r="V6" i="8"/>
  <c r="I12" i="1" s="1"/>
  <c r="M6" i="8"/>
  <c r="AW5" i="8"/>
  <c r="AN5" i="8"/>
  <c r="AE5" i="8"/>
  <c r="V5" i="8"/>
  <c r="M5" i="8"/>
  <c r="U11" i="1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H9" i="1" s="1"/>
  <c r="M10" i="5"/>
  <c r="AW9" i="5"/>
  <c r="AN9" i="5"/>
  <c r="AE9" i="5"/>
  <c r="V9" i="5"/>
  <c r="M9" i="5"/>
  <c r="AW8" i="5"/>
  <c r="AN8" i="5"/>
  <c r="P9" i="1" s="1"/>
  <c r="AE8" i="5"/>
  <c r="V8" i="5"/>
  <c r="M8" i="5"/>
  <c r="AW7" i="5"/>
  <c r="AN7" i="5"/>
  <c r="AE7" i="5"/>
  <c r="V7" i="5"/>
  <c r="M7" i="5"/>
  <c r="E9" i="1" s="1"/>
  <c r="AW6" i="5"/>
  <c r="AN6" i="5"/>
  <c r="AE6" i="5"/>
  <c r="V6" i="5"/>
  <c r="M6" i="5"/>
  <c r="AW5" i="5"/>
  <c r="AN5" i="5"/>
  <c r="AE5" i="5"/>
  <c r="L9" i="1" s="1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U8" i="1" s="1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Q8" i="1" s="1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M8" i="1" s="1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H7" i="1" s="1"/>
  <c r="M14" i="3"/>
  <c r="AW13" i="3"/>
  <c r="AN13" i="3"/>
  <c r="AE13" i="3"/>
  <c r="V13" i="3"/>
  <c r="M13" i="3"/>
  <c r="AW12" i="3"/>
  <c r="AN12" i="3"/>
  <c r="AE12" i="3"/>
  <c r="V12" i="3"/>
  <c r="M12" i="3"/>
  <c r="AW11" i="3"/>
  <c r="T7" i="1" s="1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P7" i="1" s="1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V16" i="1"/>
  <c r="R16" i="1"/>
  <c r="N16" i="1"/>
  <c r="J16" i="1"/>
  <c r="F16" i="1"/>
  <c r="V15" i="1"/>
  <c r="R15" i="1"/>
  <c r="N15" i="1"/>
  <c r="J15" i="1"/>
  <c r="F15" i="1"/>
  <c r="V14" i="1"/>
  <c r="T14" i="1"/>
  <c r="R14" i="1"/>
  <c r="N14" i="1"/>
  <c r="J14" i="1"/>
  <c r="I14" i="1"/>
  <c r="F14" i="1"/>
  <c r="V13" i="1"/>
  <c r="R13" i="1"/>
  <c r="P13" i="1"/>
  <c r="N13" i="1"/>
  <c r="J13" i="1"/>
  <c r="H13" i="1"/>
  <c r="F13" i="1"/>
  <c r="V12" i="1"/>
  <c r="R12" i="1"/>
  <c r="Q12" i="1"/>
  <c r="N12" i="1"/>
  <c r="M12" i="1"/>
  <c r="J12" i="1"/>
  <c r="V11" i="1"/>
  <c r="R11" i="1"/>
  <c r="N11" i="1"/>
  <c r="J11" i="1"/>
  <c r="V10" i="1"/>
  <c r="R10" i="1"/>
  <c r="N10" i="1"/>
  <c r="J10" i="1"/>
  <c r="F10" i="1"/>
  <c r="V9" i="1"/>
  <c r="U9" i="1"/>
  <c r="T9" i="1"/>
  <c r="R9" i="1"/>
  <c r="N9" i="1"/>
  <c r="J9" i="1"/>
  <c r="I9" i="1"/>
  <c r="F9" i="1"/>
  <c r="V8" i="1"/>
  <c r="T8" i="1"/>
  <c r="R8" i="1"/>
  <c r="N8" i="1"/>
  <c r="J8" i="1"/>
  <c r="I8" i="1"/>
  <c r="H8" i="1"/>
  <c r="F8" i="1"/>
  <c r="V7" i="1"/>
  <c r="R7" i="1"/>
  <c r="Q7" i="1"/>
  <c r="N7" i="1"/>
  <c r="J7" i="1"/>
  <c r="F7" i="1"/>
  <c r="V6" i="1"/>
  <c r="R6" i="1"/>
  <c r="N6" i="1"/>
  <c r="J6" i="1"/>
  <c r="F6" i="1"/>
  <c r="I16" i="1" l="1"/>
  <c r="T16" i="1"/>
  <c r="L16" i="1"/>
  <c r="U16" i="1"/>
  <c r="M16" i="1"/>
  <c r="Q16" i="1"/>
  <c r="H16" i="1"/>
  <c r="E16" i="1"/>
  <c r="D8" i="1"/>
  <c r="U10" i="1"/>
  <c r="L10" i="1"/>
  <c r="I10" i="1"/>
  <c r="T10" i="1"/>
  <c r="M10" i="1"/>
  <c r="Q10" i="1"/>
  <c r="E10" i="1"/>
  <c r="D12" i="1"/>
  <c r="E12" i="1"/>
  <c r="D13" i="1"/>
  <c r="E13" i="1"/>
  <c r="Q15" i="1"/>
  <c r="H15" i="1"/>
  <c r="U15" i="1"/>
  <c r="T15" i="1"/>
  <c r="P15" i="1"/>
  <c r="I15" i="1"/>
  <c r="M15" i="1"/>
  <c r="E15" i="1"/>
  <c r="M17" i="1"/>
  <c r="U17" i="1"/>
  <c r="I17" i="1"/>
  <c r="T17" i="1"/>
  <c r="L17" i="1"/>
  <c r="Q17" i="1"/>
  <c r="E17" i="1"/>
  <c r="M14" i="1"/>
  <c r="P14" i="1"/>
  <c r="E14" i="1"/>
  <c r="M7" i="1"/>
  <c r="I7" i="1"/>
  <c r="E7" i="1"/>
  <c r="P6" i="1"/>
  <c r="Q6" i="1"/>
  <c r="L6" i="1"/>
  <c r="M6" i="1"/>
  <c r="U6" i="1"/>
  <c r="H6" i="1"/>
  <c r="D14" i="1"/>
  <c r="D6" i="1"/>
  <c r="E6" i="1"/>
  <c r="L11" i="1"/>
  <c r="Q11" i="1"/>
  <c r="T6" i="1"/>
  <c r="P10" i="1"/>
  <c r="H12" i="1"/>
  <c r="T13" i="1"/>
  <c r="L15" i="1"/>
  <c r="D17" i="1"/>
  <c r="I6" i="1"/>
  <c r="U7" i="1"/>
  <c r="L8" i="1"/>
  <c r="M9" i="1"/>
  <c r="D10" i="1"/>
  <c r="H11" i="1"/>
  <c r="T12" i="1"/>
  <c r="D16" i="1"/>
  <c r="P17" i="1"/>
  <c r="L7" i="1"/>
  <c r="L14" i="1"/>
  <c r="D7" i="1"/>
  <c r="E8" i="1"/>
  <c r="P8" i="1"/>
  <c r="Q9" i="1"/>
  <c r="H10" i="1"/>
  <c r="T11" i="1"/>
  <c r="L13" i="1"/>
  <c r="D15" i="1"/>
  <c r="P16" i="1"/>
  <c r="D9" i="1"/>
  <c r="H17" i="1"/>
</calcChain>
</file>

<file path=xl/sharedStrings.xml><?xml version="1.0" encoding="utf-8"?>
<sst xmlns="http://schemas.openxmlformats.org/spreadsheetml/2006/main" count="22992" uniqueCount="6234">
  <si>
    <t>🏭   HRBR EXPERIENCE CENTRE — MATERIAL AUDIT TRACKER</t>
  </si>
  <si>
    <t>Bangalore Location  |  3,067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</si>
  <si>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</si>
  <si>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</si>
  <si>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</si>
  <si>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</si>
  <si>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</si>
  <si>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</si>
  <si>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</si>
  <si>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</si>
  <si>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</si>
  <si>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</si>
  <si>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</si>
  <si>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</si>
  <si>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</si>
  <si>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</si>
  <si>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</si>
  <si>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</si>
  <si>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</si>
  <si>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</si>
  <si>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</si>
  <si>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</si>
  <si>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</si>
  <si>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</si>
  <si>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3,067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</si>
  <si>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</si>
  <si>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</si>
  <si>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</si>
  <si>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</si>
  <si>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</si>
  <si>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</si>
  <si>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</si>
  <si>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HRBR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</si>
  <si>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</si>
  <si>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</si>
  <si>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</si>
  <si>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</si>
  <si>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</si>
  <si>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</si>
  <si>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</si>
  <si>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</si>
  <si>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</si>
  <si>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</si>
  <si>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</si>
  <si>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</si>
  <si>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</si>
  <si>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</si>
  <si>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</si>
  <si>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</si>
  <si>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</si>
  <si>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</si>
  <si>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</si>
  <si>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</si>
  <si>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</si>
  <si>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</si>
  <si>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</si>
  <si>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</si>
  <si>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</si>
  <si>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</si>
  <si>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</si>
  <si>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</si>
  <si>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</si>
  <si>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</si>
  <si>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</si>
  <si>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</si>
  <si>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</si>
  <si>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</si>
  <si>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</si>
  <si>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</si>
  <si>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</si>
  <si>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</si>
  <si>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</si>
  <si>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</si>
  <si>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</si>
  <si>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</si>
  <si>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</si>
  <si>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</si>
  <si>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</si>
  <si>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</si>
  <si>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</si>
  <si>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</si>
  <si>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</si>
  <si>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</si>
  <si>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</si>
  <si>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</si>
  <si>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</si>
  <si>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</si>
  <si>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</si>
  <si>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</si>
  <si>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</si>
  <si>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</si>
  <si>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</si>
  <si>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</si>
  <si>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</si>
  <si>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</si>
  <si>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</si>
  <si>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</si>
  <si>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</si>
  <si>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</si>
  <si>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</si>
  <si>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</si>
  <si>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</si>
  <si>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</si>
  <si>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</si>
  <si>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</si>
  <si>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</si>
  <si>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</si>
  <si>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</si>
  <si>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</si>
  <si>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</si>
  <si>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</si>
  <si>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</si>
  <si>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</si>
  <si>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</si>
  <si>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</si>
  <si>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</si>
  <si>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</si>
  <si>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</si>
  <si>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</si>
  <si>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</si>
  <si>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</si>
  <si>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</si>
  <si>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</si>
  <si>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</si>
  <si>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</si>
  <si>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</si>
  <si>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</si>
  <si>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</si>
  <si>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</si>
  <si>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</si>
  <si>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</si>
  <si>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</si>
  <si>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</si>
  <si>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</si>
  <si>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</si>
  <si>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</si>
  <si>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</si>
  <si>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</si>
  <si>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</si>
  <si>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</si>
  <si>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</si>
  <si>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</si>
  <si>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</si>
  <si>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</si>
  <si>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</si>
  <si>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</si>
  <si>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</si>
  <si>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</si>
  <si>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</si>
  <si>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</si>
  <si>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</si>
  <si>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</si>
  <si>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</si>
  <si>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</si>
  <si>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</si>
  <si>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</si>
  <si>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</si>
  <si>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</si>
  <si>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</si>
  <si>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</si>
  <si>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</si>
  <si>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</si>
  <si>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</si>
  <si>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</si>
  <si>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</si>
  <si>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</si>
  <si>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</si>
  <si>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</si>
  <si>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</si>
  <si>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</si>
  <si>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</si>
  <si>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</si>
  <si>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</si>
  <si>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</si>
  <si>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</si>
  <si>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</si>
  <si>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</si>
  <si>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</si>
  <si>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</si>
  <si>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</si>
  <si>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</si>
  <si>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</si>
  <si>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</si>
  <si>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</si>
  <si>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</si>
  <si>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</si>
  <si>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</si>
  <si>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</si>
  <si>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</si>
  <si>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</si>
  <si>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</si>
  <si>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</si>
  <si>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</si>
  <si>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</si>
  <si>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</si>
  <si>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</si>
  <si>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</si>
  <si>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</si>
  <si>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</si>
  <si>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</si>
  <si>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</si>
  <si>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</si>
  <si>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</si>
  <si>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</si>
  <si>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</si>
  <si>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</si>
  <si>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</si>
  <si>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</si>
  <si>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</si>
  <si>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</si>
  <si>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</si>
  <si>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</si>
  <si>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</si>
  <si>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</si>
  <si>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</si>
  <si>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</si>
  <si>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</si>
  <si>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</si>
  <si>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</si>
  <si>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</si>
  <si>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</si>
  <si>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</si>
  <si>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</si>
  <si>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</si>
  <si>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</si>
  <si>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</si>
  <si>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</si>
  <si>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</si>
  <si>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</si>
  <si>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</si>
  <si>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</si>
  <si>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</si>
  <si>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</si>
  <si>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</si>
  <si>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</si>
  <si>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</si>
  <si>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</si>
  <si>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</si>
  <si>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</si>
  <si>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</si>
  <si>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</si>
  <si>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</si>
  <si>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</si>
  <si>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</si>
  <si>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</si>
  <si>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</si>
  <si>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</si>
  <si>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</si>
  <si>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</si>
  <si>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</si>
  <si>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</si>
  <si>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</si>
  <si>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</si>
  <si>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</si>
  <si>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</si>
  <si>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</si>
  <si>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</si>
  <si>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</si>
  <si>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</si>
  <si>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</si>
  <si>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</si>
  <si>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</si>
  <si>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</si>
  <si>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</si>
  <si>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</si>
  <si>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</si>
  <si>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</si>
  <si>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</si>
  <si>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</si>
  <si>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</si>
  <si>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</si>
  <si>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</si>
  <si>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</si>
  <si>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</si>
  <si>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</si>
  <si>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</si>
  <si>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</si>
  <si>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</si>
  <si>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</si>
  <si>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</si>
  <si>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</si>
  <si>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</si>
  <si>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</si>
  <si>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</si>
  <si>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</si>
  <si>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</si>
  <si>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</si>
  <si>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</si>
  <si>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</si>
  <si>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</si>
  <si>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</si>
  <si>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</si>
  <si>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</si>
  <si>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</si>
  <si>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</si>
  <si>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</si>
  <si>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</si>
  <si>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</si>
  <si>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</si>
  <si>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</si>
  <si>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</si>
  <si>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</si>
  <si>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</si>
  <si>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</si>
  <si>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</si>
  <si>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</si>
  <si>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</si>
  <si>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</si>
  <si>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</si>
  <si>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</si>
  <si>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</si>
  <si>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</si>
  <si>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</si>
  <si>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</si>
  <si>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</si>
  <si>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</si>
  <si>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</si>
  <si>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</si>
  <si>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</si>
  <si>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</si>
  <si>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</si>
  <si>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</si>
  <si>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</si>
  <si>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</si>
  <si>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</si>
  <si>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</si>
  <si>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</si>
  <si>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</si>
  <si>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</si>
  <si>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</si>
  <si>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</si>
  <si>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</si>
  <si>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</si>
  <si>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</si>
  <si>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</si>
  <si>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</si>
  <si>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</si>
  <si>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</si>
  <si>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</si>
  <si>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</si>
  <si>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</si>
  <si>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</si>
  <si>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</si>
  <si>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</si>
  <si>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</si>
  <si>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</si>
  <si>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</si>
  <si>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</si>
  <si>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</si>
  <si>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</si>
  <si>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</si>
  <si>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</si>
  <si>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</si>
  <si>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</si>
  <si>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</si>
  <si>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</si>
  <si>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</si>
  <si>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</si>
  <si>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</si>
  <si>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</si>
  <si>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</si>
  <si>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</si>
  <si>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</si>
  <si>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</si>
  <si>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</si>
  <si>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</si>
  <si>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</si>
  <si>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</si>
  <si>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</si>
  <si>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</si>
  <si>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</si>
  <si>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</si>
  <si>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</si>
  <si>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</si>
  <si>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</si>
  <si>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</si>
  <si>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</si>
  <si>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</si>
  <si>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</si>
  <si>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</si>
  <si>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</si>
  <si>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</si>
  <si>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</si>
  <si>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</si>
  <si>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</si>
  <si>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</si>
  <si>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</si>
  <si>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</si>
  <si>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</si>
  <si>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</si>
  <si>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</si>
  <si>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</si>
  <si>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</si>
  <si>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</si>
  <si>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</si>
  <si>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</si>
  <si>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</si>
  <si>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</si>
  <si>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</si>
  <si>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</si>
  <si>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</si>
  <si>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</si>
  <si>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</si>
  <si>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</si>
  <si>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</si>
  <si>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</si>
  <si>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</si>
  <si>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</si>
  <si>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</si>
  <si>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</si>
  <si>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</si>
  <si>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</si>
  <si>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</si>
  <si>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</si>
  <si>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</si>
  <si>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</si>
  <si>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</si>
  <si>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</si>
  <si>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</si>
  <si>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</si>
  <si>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</si>
  <si>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</si>
  <si>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</si>
  <si>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</si>
  <si>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</si>
  <si>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</si>
  <si>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</si>
  <si>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</si>
  <si>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</si>
  <si>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</si>
  <si>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</si>
  <si>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</si>
  <si>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</si>
  <si>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</si>
  <si>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</si>
  <si>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</si>
  <si>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</si>
  <si>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</si>
  <si>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</si>
  <si>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</si>
  <si>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</si>
  <si>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</si>
  <si>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</si>
  <si>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</si>
  <si>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</si>
  <si>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</si>
  <si>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</si>
  <si>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</si>
  <si>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</si>
  <si>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</si>
  <si>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</si>
  <si>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</si>
  <si>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</si>
  <si>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</si>
  <si>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</si>
  <si>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</si>
  <si>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</si>
  <si>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</si>
  <si>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</si>
  <si>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</si>
  <si>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</si>
  <si>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</si>
  <si>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</si>
  <si>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</si>
  <si>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</si>
  <si>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</si>
  <si>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</si>
  <si>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</si>
  <si>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</si>
  <si>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</si>
  <si>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</si>
  <si>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</si>
  <si>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</si>
  <si>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</si>
  <si>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</si>
  <si>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</si>
  <si>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</si>
  <si>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</si>
  <si>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</si>
  <si>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</si>
  <si>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</si>
  <si>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</si>
  <si>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</si>
  <si>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</si>
  <si>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</si>
  <si>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</si>
  <si>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</si>
  <si>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</si>
  <si>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</si>
  <si>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</si>
  <si>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</si>
  <si>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</si>
  <si>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</si>
  <si>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</si>
  <si>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</si>
  <si>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</si>
  <si>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</si>
  <si>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</si>
  <si>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</si>
  <si>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</si>
  <si>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</si>
  <si>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</si>
  <si>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</si>
  <si>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</si>
  <si>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</si>
  <si>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</si>
  <si>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</si>
  <si>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</si>
  <si>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</si>
  <si>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</si>
  <si>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</si>
  <si>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</si>
  <si>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</si>
  <si>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</si>
  <si>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</si>
  <si>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</si>
  <si>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</si>
  <si>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</si>
  <si>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</si>
  <si>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</si>
  <si>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</si>
  <si>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</si>
  <si>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</si>
  <si>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</si>
  <si>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</si>
  <si>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</si>
  <si>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</si>
  <si>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</si>
  <si>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</si>
  <si>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</si>
  <si>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</si>
  <si>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</si>
  <si>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</si>
  <si>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</si>
  <si>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</si>
  <si>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</si>
  <si>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</si>
  <si>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</si>
  <si>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</si>
  <si>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</si>
  <si>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</si>
  <si>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</si>
  <si>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</si>
  <si>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</si>
  <si>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</si>
  <si>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</si>
  <si>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</si>
  <si>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</si>
  <si>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</si>
  <si>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</si>
  <si>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</si>
  <si>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</si>
  <si>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</si>
  <si>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</si>
  <si>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</si>
  <si>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</si>
  <si>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</si>
  <si>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</si>
  <si>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</si>
  <si>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</si>
  <si>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</si>
  <si>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</si>
  <si>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</si>
  <si>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</si>
  <si>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</si>
  <si>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</si>
  <si>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</si>
  <si>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</si>
  <si>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</si>
  <si>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</si>
  <si>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</si>
  <si>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</si>
  <si>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</si>
  <si>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</si>
  <si>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</si>
  <si>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</si>
  <si>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</si>
  <si>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</si>
  <si>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</si>
  <si>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</si>
  <si>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</si>
  <si>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</si>
  <si>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</si>
  <si>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</si>
  <si>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</si>
  <si>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</si>
  <si>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</si>
  <si>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</si>
  <si>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</si>
  <si>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</si>
  <si>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</si>
  <si>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</si>
  <si>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</si>
  <si>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</si>
  <si>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</si>
  <si>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</si>
  <si>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</si>
  <si>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</si>
  <si>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</si>
  <si>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</si>
  <si>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</si>
  <si>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</si>
  <si>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</si>
  <si>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</si>
  <si>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</si>
  <si>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</si>
  <si>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</si>
  <si>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</si>
  <si>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</si>
  <si>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</si>
  <si>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</si>
  <si>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</si>
  <si>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</si>
  <si>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</si>
  <si>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</si>
  <si>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</si>
  <si>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</si>
  <si>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</si>
  <si>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</si>
  <si>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</si>
  <si>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</si>
  <si>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</si>
  <si>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</si>
  <si>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</si>
  <si>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</si>
  <si>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</si>
  <si>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</si>
  <si>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</si>
  <si>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</si>
  <si>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</si>
  <si>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</si>
  <si>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</si>
  <si>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</si>
  <si>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</si>
  <si>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</si>
  <si>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</si>
  <si>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</si>
  <si>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</si>
  <si>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</si>
  <si>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</si>
  <si>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</si>
  <si>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HRBR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</si>
  <si>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</si>
  <si>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</si>
  <si>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</si>
  <si>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</si>
  <si>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</si>
  <si>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</si>
  <si>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</si>
  <si>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</si>
  <si>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</si>
  <si>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</si>
  <si>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</si>
  <si>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</si>
  <si>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</si>
  <si>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</si>
  <si>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</si>
  <si>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</si>
  <si>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</si>
  <si>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</si>
  <si>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</si>
  <si>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</si>
  <si>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</si>
  <si>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</si>
  <si>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</si>
  <si>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</si>
  <si>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</si>
  <si>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</si>
  <si>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</si>
  <si>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</si>
  <si>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</si>
  <si>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</si>
  <si>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</si>
  <si>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</si>
  <si>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</si>
  <si>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</si>
  <si>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</si>
  <si>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</si>
  <si>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</si>
  <si>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</si>
  <si>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</si>
  <si>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</si>
  <si>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</si>
  <si>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</si>
  <si>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</si>
  <si>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</si>
  <si>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</si>
  <si>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</si>
  <si>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</si>
  <si>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</si>
  <si>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</si>
  <si>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</si>
  <si>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</si>
  <si>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</si>
  <si>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</si>
  <si>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</si>
  <si>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</si>
  <si>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</si>
  <si>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</si>
  <si>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</si>
  <si>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</si>
  <si>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</si>
  <si>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</si>
  <si>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</si>
  <si>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</si>
  <si>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</si>
  <si>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</si>
  <si>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</si>
  <si>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</si>
  <si>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</si>
  <si>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</si>
  <si>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</si>
  <si>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</si>
  <si>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</si>
  <si>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</si>
  <si>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</si>
  <si>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</si>
  <si>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</si>
  <si>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</si>
  <si>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</si>
  <si>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</si>
  <si>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</si>
  <si>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</si>
  <si>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</si>
  <si>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</si>
  <si>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</si>
  <si>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</si>
  <si>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</si>
  <si>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</si>
  <si>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</si>
  <si>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</si>
  <si>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</si>
  <si>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</si>
  <si>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</si>
  <si>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</si>
  <si>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</si>
  <si>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</si>
  <si>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</si>
  <si>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</si>
  <si>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</si>
  <si>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</si>
  <si>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</si>
  <si>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</si>
  <si>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</si>
  <si>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</si>
  <si>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</si>
  <si>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</si>
  <si>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</si>
  <si>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</si>
  <si>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</si>
  <si>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</si>
  <si>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</si>
  <si>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</si>
  <si>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</si>
  <si>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</si>
  <si>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</si>
  <si>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</si>
  <si>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</si>
  <si>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</si>
  <si>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</si>
  <si>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</si>
  <si>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</si>
  <si>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</si>
  <si>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</si>
  <si>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</si>
  <si>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</si>
  <si>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</si>
  <si>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</si>
  <si>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</si>
  <si>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</si>
  <si>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HRBR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</si>
  <si>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</si>
  <si>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</si>
  <si>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</si>
  <si>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</si>
  <si>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</si>
  <si>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</si>
  <si>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</si>
  <si>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</si>
  <si>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</si>
  <si>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</si>
  <si>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</si>
  <si>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</si>
  <si>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</si>
  <si>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</si>
  <si>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</si>
  <si>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</si>
  <si>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</si>
  <si>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</si>
  <si>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</si>
  <si>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</si>
  <si>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</si>
  <si>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</si>
  <si>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</si>
  <si>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</si>
  <si>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</si>
  <si>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</si>
  <si>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</si>
  <si>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</si>
  <si>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</si>
  <si>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</si>
  <si>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</si>
  <si>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</si>
  <si>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</si>
  <si>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</si>
  <si>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</si>
  <si>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</si>
  <si>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</si>
  <si>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</si>
  <si>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</si>
  <si>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</si>
  <si>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</si>
  <si>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</si>
  <si>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</si>
  <si>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</si>
  <si>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</si>
  <si>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</si>
  <si>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</si>
  <si>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</si>
  <si>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</si>
  <si>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</si>
  <si>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</si>
  <si>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</si>
  <si>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</si>
  <si>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</si>
  <si>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</si>
  <si>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</si>
  <si>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</si>
  <si>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</si>
  <si>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</si>
  <si>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</si>
  <si>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</si>
  <si>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</si>
  <si>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</si>
  <si>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</si>
  <si>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</si>
  <si>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</si>
  <si>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</si>
  <si>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</si>
  <si>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</si>
  <si>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</si>
  <si>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</si>
  <si>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</si>
  <si>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</si>
  <si>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</si>
  <si>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</si>
  <si>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</si>
  <si>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</si>
  <si>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</si>
  <si>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</si>
  <si>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</si>
  <si>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</si>
  <si>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</si>
  <si>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</si>
  <si>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</si>
  <si>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</si>
  <si>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</si>
  <si>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</si>
  <si>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</si>
  <si>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</si>
  <si>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</si>
  <si>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</si>
  <si>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</si>
  <si>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</si>
  <si>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</si>
  <si>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</si>
  <si>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</si>
  <si>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</si>
  <si>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</si>
  <si>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</si>
  <si>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</si>
  <si>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</si>
  <si>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</si>
  <si>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</si>
  <si>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</si>
  <si>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</si>
  <si>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</si>
  <si>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</si>
  <si>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</si>
  <si>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</si>
  <si>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</si>
  <si>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</si>
  <si>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</si>
  <si>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</si>
  <si>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</si>
  <si>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</si>
  <si>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</si>
  <si>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</si>
  <si>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</si>
  <si>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</si>
  <si>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</si>
  <si>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</si>
  <si>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</si>
  <si>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</si>
  <si>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</si>
  <si>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</si>
  <si>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</si>
  <si>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</si>
  <si>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</si>
  <si>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</si>
  <si>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</si>
  <si>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</si>
  <si>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</si>
  <si>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</si>
  <si>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</si>
  <si>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</si>
  <si>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</si>
  <si>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</si>
  <si>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</si>
  <si>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</si>
  <si>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</si>
  <si>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</si>
  <si>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</si>
  <si>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</si>
  <si>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</si>
  <si>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</si>
  <si>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</si>
  <si>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</si>
  <si>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</si>
  <si>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</si>
  <si>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</si>
  <si>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</si>
  <si>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</si>
  <si>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</si>
  <si>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</si>
  <si>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</si>
  <si>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</si>
  <si>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</si>
  <si>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</si>
  <si>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</si>
  <si>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</si>
  <si>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</si>
  <si>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HRBR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</si>
  <si>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</si>
  <si>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</si>
  <si>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</si>
  <si>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</si>
  <si>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</si>
  <si>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</si>
  <si>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</si>
  <si>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</si>
  <si>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</si>
  <si>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</si>
  <si>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</si>
  <si>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</si>
  <si>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</si>
  <si>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</si>
  <si>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</si>
  <si>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</si>
  <si>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</si>
  <si>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</si>
  <si>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</si>
  <si>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</si>
  <si>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</si>
  <si>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</si>
  <si>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</si>
  <si>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</si>
  <si>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</si>
  <si>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</si>
  <si>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</si>
  <si>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</si>
  <si>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</si>
  <si>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</si>
  <si>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</si>
  <si>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</si>
  <si>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</si>
  <si>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</si>
  <si>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</si>
  <si>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</si>
  <si>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</si>
  <si>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</si>
  <si>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</si>
  <si>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</si>
  <si>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</si>
  <si>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</si>
  <si>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</si>
  <si>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</si>
  <si>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</si>
  <si>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</si>
  <si>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</si>
  <si>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</si>
  <si>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</si>
  <si>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</si>
  <si>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</si>
  <si>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</si>
  <si>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</si>
  <si>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</si>
  <si>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</si>
  <si>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</si>
  <si>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</si>
  <si>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</si>
  <si>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</si>
  <si>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</si>
  <si>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</si>
  <si>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</si>
  <si>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</si>
  <si>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</si>
  <si>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</si>
  <si>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</si>
  <si>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</si>
  <si>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</si>
  <si>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</si>
  <si>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</si>
  <si>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</si>
  <si>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</si>
  <si>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</si>
  <si>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</si>
  <si>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</si>
  <si>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</si>
  <si>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</si>
  <si>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</si>
  <si>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</si>
  <si>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</si>
  <si>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</si>
  <si>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</si>
  <si>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</si>
  <si>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</si>
  <si>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</si>
  <si>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</si>
  <si>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</si>
  <si>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</si>
  <si>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</si>
  <si>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</si>
  <si>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</si>
  <si>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</si>
  <si>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</si>
  <si>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</si>
  <si>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</si>
  <si>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</si>
  <si>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</si>
  <si>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</si>
  <si>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</si>
  <si>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</si>
  <si>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</si>
  <si>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</si>
  <si>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</si>
  <si>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</si>
  <si>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</si>
  <si>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</si>
  <si>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</si>
  <si>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</si>
  <si>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</si>
  <si>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</si>
  <si>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</si>
  <si>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</si>
  <si>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</si>
  <si>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</si>
  <si>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</si>
  <si>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</si>
  <si>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</si>
  <si>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</si>
  <si>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</si>
  <si>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</si>
  <si>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</si>
  <si>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</si>
  <si>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</si>
  <si>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</si>
  <si>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</si>
  <si>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</si>
  <si>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</si>
  <si>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</si>
  <si>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</si>
  <si>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</si>
  <si>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</si>
  <si>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</si>
  <si>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</si>
  <si>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</si>
  <si>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</si>
  <si>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</si>
  <si>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</si>
  <si>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</si>
  <si>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</si>
  <si>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</si>
  <si>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</si>
  <si>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</si>
  <si>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</si>
  <si>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</si>
  <si>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</si>
  <si>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</si>
  <si>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</si>
  <si>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</si>
  <si>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</si>
  <si>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</si>
  <si>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</si>
  <si>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</si>
  <si>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</si>
  <si>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</si>
  <si>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</si>
  <si>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</si>
  <si>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</si>
  <si>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</si>
  <si>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</si>
  <si>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</si>
  <si>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</si>
  <si>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</si>
  <si>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</si>
  <si>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</si>
  <si>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</si>
  <si>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</si>
  <si>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</si>
  <si>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</si>
  <si>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</si>
  <si>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</si>
  <si>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</si>
  <si>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</si>
  <si>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</si>
  <si>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</si>
  <si>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</si>
  <si>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</si>
  <si>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</si>
  <si>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</si>
  <si>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</si>
  <si>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</si>
  <si>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</si>
  <si>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</si>
  <si>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</si>
  <si>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</si>
  <si>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</si>
  <si>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</si>
  <si>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</si>
  <si>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</si>
  <si>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</si>
  <si>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</si>
  <si>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</si>
  <si>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</si>
  <si>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</si>
  <si>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</si>
  <si>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</si>
  <si>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</si>
  <si>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</si>
  <si>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</si>
  <si>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</si>
  <si>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</si>
  <si>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</si>
  <si>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</si>
  <si>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</si>
  <si>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</si>
  <si>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</si>
  <si>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</si>
  <si>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</si>
  <si>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</si>
  <si>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</si>
  <si>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</si>
  <si>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</si>
  <si>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</si>
  <si>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</si>
  <si>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</si>
  <si>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</si>
  <si>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</si>
  <si>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</si>
  <si>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</si>
  <si>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</si>
  <si>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</si>
  <si>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</si>
  <si>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</si>
  <si>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</si>
  <si>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</si>
  <si>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</si>
  <si>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</si>
  <si>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</si>
  <si>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</si>
  <si>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</si>
  <si>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</si>
  <si>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</si>
  <si>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</si>
  <si>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</si>
  <si>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</si>
  <si>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</si>
  <si>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</si>
  <si>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</si>
  <si>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</si>
  <si>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</si>
  <si>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</si>
  <si>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</si>
  <si>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</si>
  <si>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</si>
  <si>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</si>
  <si>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</si>
  <si>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</si>
  <si>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</si>
  <si>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</si>
  <si>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</si>
  <si>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</si>
  <si>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</si>
  <si>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</si>
  <si>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</si>
  <si>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</si>
  <si>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</si>
  <si>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</si>
  <si>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</si>
  <si>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</si>
  <si>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</si>
  <si>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</si>
  <si>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</si>
  <si>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</si>
  <si>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</si>
  <si>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</si>
  <si>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</si>
  <si>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</si>
  <si>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</si>
  <si>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</si>
  <si>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</si>
  <si>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</si>
  <si>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</si>
  <si>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</si>
  <si>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</si>
  <si>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</si>
  <si>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</si>
  <si>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</si>
  <si>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</si>
  <si>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</si>
  <si>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</si>
  <si>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</si>
  <si>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</si>
  <si>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</si>
  <si>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</si>
  <si>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</si>
  <si>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</si>
  <si>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</si>
  <si>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</si>
  <si>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</si>
  <si>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</si>
  <si>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</si>
  <si>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</si>
  <si>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</si>
  <si>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</si>
  <si>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</si>
  <si>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</si>
  <si>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</si>
  <si>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</si>
  <si>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</si>
  <si>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</si>
  <si>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</si>
  <si>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</si>
  <si>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</si>
  <si>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</si>
  <si>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</si>
  <si>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</si>
  <si>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</si>
  <si>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</si>
  <si>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</si>
  <si>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</si>
  <si>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</si>
  <si>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</si>
  <si>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</si>
  <si>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</si>
  <si>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</si>
  <si>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</si>
  <si>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</si>
  <si>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</si>
  <si>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</si>
  <si>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</si>
  <si>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</si>
  <si>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</si>
  <si>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</si>
  <si>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</si>
  <si>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</si>
  <si>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</si>
  <si>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</si>
  <si>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</si>
  <si>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</si>
  <si>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</si>
  <si>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</si>
  <si>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HRBR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</si>
  <si>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</si>
  <si>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</si>
  <si>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</si>
  <si>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</si>
  <si>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</si>
  <si>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</si>
  <si>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</si>
  <si>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</si>
  <si>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</si>
  <si>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</si>
  <si>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</si>
  <si>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</si>
  <si>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</si>
  <si>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</si>
  <si>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</si>
  <si>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</si>
  <si>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</si>
  <si>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</si>
  <si>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</si>
  <si>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</si>
  <si>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</si>
  <si>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</si>
  <si>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</si>
  <si>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</si>
  <si>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</si>
  <si>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</si>
  <si>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</si>
  <si>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</si>
  <si>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</si>
  <si>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</si>
  <si>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</si>
  <si>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</si>
  <si>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</si>
  <si>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</si>
  <si>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</si>
  <si>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</si>
  <si>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</si>
  <si>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</si>
  <si>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</si>
  <si>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</si>
  <si>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</si>
  <si>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</si>
  <si>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</si>
  <si>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</si>
  <si>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</si>
  <si>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</si>
  <si>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</si>
  <si>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</si>
  <si>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</si>
  <si>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</si>
  <si>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</si>
  <si>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</si>
  <si>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</si>
  <si>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</si>
  <si>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</si>
  <si>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</si>
  <si>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</si>
  <si>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</si>
  <si>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</si>
  <si>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</si>
  <si>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</si>
  <si>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</si>
  <si>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</si>
  <si>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</si>
  <si>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</si>
  <si>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</si>
  <si>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</si>
  <si>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</si>
  <si>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</si>
  <si>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</si>
  <si>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</si>
  <si>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</si>
  <si>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</si>
  <si>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</si>
  <si>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</si>
  <si>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</si>
  <si>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</si>
  <si>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</si>
  <si>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</si>
  <si>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</si>
  <si>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</si>
  <si>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</si>
  <si>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</si>
  <si>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</si>
  <si>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</si>
  <si>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</si>
  <si>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</si>
  <si>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</si>
  <si>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</si>
  <si>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</si>
  <si>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</si>
  <si>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</si>
  <si>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</si>
  <si>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</si>
  <si>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</si>
  <si>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</si>
  <si>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</si>
  <si>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</si>
  <si>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</si>
  <si>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</si>
  <si>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</si>
  <si>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</si>
  <si>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</si>
  <si>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</si>
  <si>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</si>
  <si>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</si>
  <si>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</si>
  <si>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</si>
  <si>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</si>
  <si>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</si>
  <si>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</si>
  <si>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</si>
  <si>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</si>
  <si>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</si>
  <si>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</si>
  <si>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</si>
  <si>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</si>
  <si>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</si>
  <si>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</si>
  <si>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</si>
  <si>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</si>
  <si>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</si>
  <si>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</si>
  <si>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</si>
  <si>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</si>
  <si>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</si>
  <si>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</si>
  <si>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</si>
  <si>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</si>
  <si>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</si>
  <si>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</si>
  <si>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</si>
  <si>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</si>
  <si>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</si>
  <si>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</si>
  <si>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</si>
  <si>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</si>
  <si>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</si>
  <si>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</si>
  <si>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</si>
  <si>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</si>
  <si>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</si>
  <si>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</si>
  <si>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</si>
  <si>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</si>
  <si>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</si>
  <si>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</si>
  <si>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</si>
  <si>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</si>
  <si>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</si>
  <si>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</si>
  <si>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</si>
  <si>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</si>
  <si>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</si>
  <si>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</si>
  <si>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</si>
  <si>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</si>
  <si>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</si>
  <si>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</si>
  <si>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</si>
  <si>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</si>
  <si>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</si>
  <si>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</si>
  <si>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</si>
  <si>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</si>
  <si>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</si>
  <si>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</si>
  <si>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</si>
  <si>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</si>
  <si>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</si>
  <si>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</si>
  <si>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</si>
  <si>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</si>
  <si>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</si>
  <si>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</si>
  <si>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</si>
  <si>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</si>
  <si>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</si>
  <si>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</si>
  <si>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</si>
  <si>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</si>
  <si>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</si>
  <si>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</si>
  <si>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</si>
  <si>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</si>
  <si>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</si>
  <si>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</si>
  <si>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</si>
  <si>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</si>
  <si>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</si>
  <si>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</si>
  <si>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</si>
  <si>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</si>
  <si>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</si>
  <si>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</si>
  <si>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</si>
  <si>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</si>
  <si>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</si>
  <si>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</si>
  <si>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</si>
  <si>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</si>
  <si>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</si>
  <si>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</si>
  <si>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</si>
  <si>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</si>
  <si>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</si>
  <si>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</si>
  <si>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</si>
  <si>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</si>
  <si>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</si>
  <si>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</si>
  <si>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</si>
  <si>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</si>
  <si>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</si>
  <si>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</si>
  <si>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</si>
  <si>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</si>
  <si>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</si>
  <si>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</si>
  <si>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</si>
  <si>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</si>
  <si>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</si>
  <si>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</si>
  <si>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</si>
  <si>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</si>
  <si>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</si>
  <si>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</si>
  <si>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</si>
  <si>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</si>
  <si>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</si>
  <si>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</si>
  <si>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</si>
  <si>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</si>
  <si>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</si>
  <si>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</si>
  <si>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</si>
  <si>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</si>
  <si>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</si>
  <si>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</si>
  <si>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</si>
  <si>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</si>
  <si>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</si>
  <si>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</si>
  <si>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</si>
  <si>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</si>
  <si>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</si>
  <si>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</si>
  <si>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</si>
  <si>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</si>
  <si>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</si>
  <si>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</si>
  <si>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</si>
  <si>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</si>
  <si>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</si>
  <si>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</si>
  <si>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</si>
  <si>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</si>
  <si>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</si>
  <si>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</si>
  <si>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</si>
  <si>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</si>
  <si>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</si>
  <si>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</si>
  <si>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</si>
  <si>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</si>
  <si>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</si>
  <si>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</si>
  <si>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</si>
  <si>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</si>
  <si>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</si>
  <si>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</si>
  <si>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</si>
  <si>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</si>
  <si>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</si>
  <si>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</si>
  <si>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</si>
  <si>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</si>
  <si>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</si>
  <si>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</si>
  <si>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</si>
  <si>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</si>
  <si>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</si>
  <si>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</si>
  <si>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</si>
  <si>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</si>
  <si>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</si>
  <si>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</si>
  <si>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</si>
  <si>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</si>
  <si>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</si>
  <si>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</si>
  <si>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</si>
  <si>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</si>
  <si>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</si>
  <si>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</si>
  <si>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</si>
  <si>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</si>
  <si>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</si>
  <si>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</si>
  <si>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</si>
  <si>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</si>
  <si>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</si>
  <si>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</si>
  <si>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</si>
  <si>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</si>
  <si>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</si>
  <si>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</si>
  <si>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</si>
  <si>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</si>
  <si>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</si>
  <si>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</si>
  <si>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</si>
  <si>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</si>
  <si>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</si>
  <si>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</si>
  <si>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</si>
  <si>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</si>
  <si>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</si>
  <si>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</si>
  <si>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</si>
  <si>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</si>
  <si>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</si>
  <si>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</si>
  <si>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</si>
  <si>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</si>
  <si>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</si>
  <si>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</si>
  <si>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</si>
  <si>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</si>
  <si>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</si>
  <si>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</si>
  <si>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</si>
  <si>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</si>
  <si>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</si>
  <si>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</si>
  <si>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</si>
  <si>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</si>
  <si>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</si>
  <si>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</si>
  <si>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</si>
  <si>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</si>
  <si>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</si>
  <si>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</si>
  <si>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</si>
  <si>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</si>
  <si>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</si>
  <si>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</si>
  <si>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</si>
  <si>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</si>
  <si>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</si>
  <si>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</si>
  <si>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</si>
  <si>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</si>
  <si>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</si>
  <si>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</si>
  <si>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</si>
  <si>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</si>
  <si>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</si>
  <si>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</si>
  <si>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</si>
  <si>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</si>
  <si>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</si>
  <si>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</si>
  <si>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</si>
  <si>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</si>
  <si>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</si>
  <si>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</si>
  <si>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</si>
  <si>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</si>
  <si>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</si>
  <si>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</si>
  <si>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</si>
  <si>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</si>
  <si>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</si>
  <si>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</si>
  <si>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</si>
  <si>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</si>
  <si>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</si>
  <si>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</si>
  <si>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</si>
  <si>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</si>
  <si>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</si>
  <si>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</si>
  <si>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</si>
  <si>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</si>
  <si>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</si>
  <si>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</si>
  <si>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</si>
  <si>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</si>
  <si>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</si>
  <si>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</si>
  <si>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</si>
  <si>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</si>
  <si>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</si>
  <si>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</si>
  <si>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</si>
  <si>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</si>
  <si>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</si>
  <si>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</si>
  <si>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</si>
  <si>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</si>
  <si>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</si>
  <si>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</si>
  <si>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</si>
  <si>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</si>
  <si>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</si>
  <si>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</si>
  <si>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</si>
  <si>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</si>
  <si>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</si>
  <si>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</si>
  <si>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</si>
  <si>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</si>
  <si>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</si>
  <si>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</si>
  <si>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</si>
  <si>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</si>
  <si>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</si>
  <si>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</si>
  <si>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</si>
  <si>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</si>
  <si>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</si>
  <si>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</si>
  <si>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</si>
  <si>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</si>
  <si>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</si>
  <si>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</si>
  <si>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</si>
  <si>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</si>
  <si>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</si>
  <si>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</si>
  <si>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</si>
  <si>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</si>
  <si>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</si>
  <si>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</si>
  <si>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</si>
  <si>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</si>
  <si>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</si>
  <si>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</si>
  <si>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</si>
  <si>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</si>
  <si>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</si>
  <si>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</si>
  <si>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</si>
  <si>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</si>
  <si>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</si>
  <si>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</si>
  <si>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</si>
  <si>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</si>
  <si>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</si>
  <si>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</si>
  <si>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</si>
  <si>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</si>
  <si>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</si>
  <si>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</si>
  <si>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</si>
  <si>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</si>
  <si>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</si>
  <si>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</si>
  <si>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</si>
  <si>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</si>
  <si>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</si>
  <si>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</si>
  <si>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</si>
  <si>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</si>
  <si>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</si>
  <si>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</si>
  <si>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</si>
  <si>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</si>
  <si>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</si>
  <si>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</si>
  <si>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</si>
  <si>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</si>
  <si>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</si>
  <si>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</si>
  <si>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</si>
  <si>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</si>
  <si>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</si>
  <si>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</si>
  <si>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</si>
  <si>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</si>
  <si>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</si>
  <si>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</si>
  <si>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</si>
  <si>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</si>
  <si>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</si>
  <si>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</si>
  <si>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</si>
  <si>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</si>
  <si>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</si>
  <si>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</si>
  <si>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</si>
  <si>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</si>
  <si>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</si>
  <si>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</si>
  <si>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</si>
  <si>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</si>
  <si>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</si>
  <si>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</si>
  <si>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</si>
  <si>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</si>
  <si>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</si>
  <si>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</si>
  <si>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</si>
  <si>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</si>
  <si>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</si>
  <si>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</si>
  <si>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</si>
  <si>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</si>
  <si>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</si>
  <si>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</si>
  <si>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</si>
  <si>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</si>
  <si>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</si>
  <si>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</si>
  <si>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</si>
  <si>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</si>
  <si>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</si>
  <si>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</si>
  <si>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</si>
  <si>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</si>
  <si>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</si>
  <si>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</si>
  <si>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</si>
  <si>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</si>
  <si>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</si>
  <si>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</si>
  <si>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</si>
  <si>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</si>
  <si>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</si>
  <si>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</si>
  <si>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</si>
  <si>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</si>
  <si>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</si>
  <si>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</si>
  <si>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</si>
  <si>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</si>
  <si>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</si>
  <si>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</si>
  <si>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</si>
  <si>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</si>
  <si>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</si>
  <si>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</si>
  <si>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</si>
  <si>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</si>
  <si>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</si>
  <si>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</si>
  <si>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</si>
  <si>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</si>
  <si>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</si>
  <si>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</si>
  <si>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</si>
  <si>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</si>
  <si>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</si>
  <si>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</si>
  <si>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</si>
  <si>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</si>
  <si>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</si>
  <si>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</si>
  <si>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</si>
  <si>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</si>
  <si>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</si>
  <si>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</si>
  <si>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</si>
  <si>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</si>
  <si>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</si>
  <si>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</si>
  <si>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</si>
  <si>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</si>
  <si>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</si>
  <si>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</si>
  <si>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</si>
  <si>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</si>
  <si>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</si>
  <si>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</si>
  <si>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</si>
  <si>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</si>
  <si>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</si>
  <si>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</si>
  <si>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</si>
  <si>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</si>
  <si>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</si>
  <si>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</si>
  <si>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</si>
  <si>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</si>
  <si>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</si>
  <si>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</si>
  <si>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</si>
  <si>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</si>
  <si>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</si>
  <si>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</si>
  <si>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</si>
  <si>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</si>
  <si>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</si>
  <si>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</si>
  <si>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</si>
  <si>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</si>
  <si>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</si>
  <si>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</si>
  <si>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</si>
  <si>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</si>
  <si>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</si>
  <si>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</si>
  <si>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</si>
  <si>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</si>
  <si>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</si>
  <si>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</si>
  <si>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</si>
  <si>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</si>
  <si>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</si>
  <si>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</si>
  <si>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</si>
  <si>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</si>
  <si>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</si>
  <si>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</si>
  <si>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</si>
  <si>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</si>
  <si>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</si>
  <si>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</si>
  <si>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</si>
  <si>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</si>
  <si>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</si>
  <si>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</si>
  <si>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</si>
  <si>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</si>
  <si>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</si>
  <si>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</si>
  <si>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</si>
  <si>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</si>
  <si>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</si>
  <si>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</si>
  <si>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</si>
  <si>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</si>
  <si>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</si>
  <si>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</si>
  <si>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</si>
  <si>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</si>
  <si>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</si>
  <si>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</si>
  <si>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</si>
  <si>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</si>
  <si>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</si>
  <si>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</si>
  <si>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</si>
  <si>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</si>
  <si>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</si>
  <si>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</si>
  <si>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</si>
  <si>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</si>
  <si>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</si>
  <si>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</si>
  <si>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</si>
  <si>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</si>
  <si>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</si>
  <si>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</si>
  <si>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</si>
  <si>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</si>
  <si>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</si>
  <si>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</si>
  <si>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</si>
  <si>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</si>
  <si>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</si>
  <si>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</si>
  <si>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</si>
  <si>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</si>
  <si>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</si>
  <si>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</si>
  <si>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</si>
  <si>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</si>
  <si>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</si>
  <si>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</si>
  <si>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</si>
  <si>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</si>
  <si>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</si>
  <si>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</si>
  <si>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</si>
  <si>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</si>
  <si>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</si>
  <si>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</si>
  <si>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</si>
  <si>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</si>
  <si>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</si>
  <si>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</si>
  <si>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</si>
  <si>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</si>
  <si>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</si>
  <si>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</si>
  <si>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</si>
  <si>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</si>
  <si>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</si>
  <si>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</si>
  <si>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</si>
  <si>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</si>
  <si>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</si>
  <si>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</si>
  <si>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</si>
  <si>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</si>
  <si>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</si>
  <si>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</si>
  <si>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</si>
  <si>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</si>
  <si>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</si>
  <si>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</si>
  <si>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</si>
  <si>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</si>
  <si>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</si>
  <si>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</si>
  <si>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</si>
  <si>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</si>
  <si>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</si>
  <si>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</si>
  <si>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</si>
  <si>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</si>
  <si>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</si>
  <si>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</si>
  <si>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</si>
  <si>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</si>
  <si>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</si>
  <si>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</si>
  <si>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</si>
  <si>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</si>
  <si>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</si>
  <si>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</si>
  <si>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</si>
  <si>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</si>
  <si>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</si>
  <si>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</si>
  <si>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</si>
  <si>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</si>
  <si>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</si>
  <si>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</si>
  <si>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</si>
  <si>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</si>
  <si>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</si>
  <si>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</si>
  <si>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</si>
  <si>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</si>
  <si>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</si>
  <si>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</si>
  <si>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</si>
  <si>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</si>
  <si>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</si>
  <si>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</si>
  <si>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</si>
  <si>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</si>
  <si>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</si>
  <si>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</si>
  <si>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</si>
  <si>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</si>
  <si>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</si>
  <si>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</si>
  <si>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</si>
  <si>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</si>
  <si>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</si>
  <si>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</si>
  <si>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</si>
  <si>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</si>
  <si>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</si>
  <si>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</si>
  <si>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</si>
  <si>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</si>
  <si>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</si>
  <si>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</si>
  <si>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</si>
  <si>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</si>
  <si>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</si>
  <si>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</si>
  <si>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</si>
  <si>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</si>
  <si>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</si>
  <si>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</si>
  <si>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</si>
  <si>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</si>
  <si>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</si>
  <si>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</si>
  <si>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</si>
  <si>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</si>
  <si>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</si>
  <si>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</si>
  <si>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</si>
  <si>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</si>
  <si>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</si>
  <si>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</si>
  <si>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</si>
  <si>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</si>
  <si>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</si>
  <si>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</si>
  <si>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</si>
  <si>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</si>
  <si>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</si>
  <si>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</si>
  <si>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</si>
  <si>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</si>
  <si>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</si>
  <si>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</si>
  <si>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</si>
  <si>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</si>
  <si>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</si>
  <si>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</si>
  <si>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</si>
  <si>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</si>
  <si>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</si>
  <si>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</si>
  <si>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</si>
  <si>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</si>
  <si>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</si>
  <si>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</si>
  <si>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</si>
  <si>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</si>
  <si>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</si>
  <si>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</si>
  <si>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</si>
  <si>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</si>
  <si>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</si>
  <si>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</si>
  <si>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</si>
  <si>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</si>
  <si>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</si>
  <si>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</si>
  <si>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</si>
  <si>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</si>
  <si>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</si>
  <si>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</si>
  <si>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</si>
  <si>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</si>
  <si>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</si>
  <si>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</si>
  <si>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</si>
  <si>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</si>
  <si>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</si>
  <si>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</si>
  <si>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</si>
  <si>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</si>
  <si>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</si>
  <si>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</si>
  <si>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</si>
  <si>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</si>
  <si>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</si>
  <si>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</si>
  <si>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</si>
  <si>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</si>
  <si>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</si>
  <si>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</si>
  <si>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</si>
  <si>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</si>
  <si>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</si>
  <si>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</si>
  <si>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</si>
  <si>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</si>
  <si>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</si>
  <si>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</si>
  <si>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</si>
  <si>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</si>
  <si>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</si>
  <si>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</si>
  <si>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</si>
  <si>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</si>
  <si>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</si>
  <si>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</si>
  <si>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</si>
  <si>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</si>
  <si>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</si>
  <si>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</si>
  <si>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</si>
  <si>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</si>
  <si>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</si>
  <si>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</si>
  <si>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</si>
  <si>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</si>
  <si>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</si>
  <si>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</si>
  <si>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</si>
  <si>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</si>
  <si>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</si>
  <si>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</si>
  <si>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</si>
  <si>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</si>
  <si>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</si>
  <si>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</si>
  <si>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</si>
  <si>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</si>
  <si>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</si>
  <si>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</si>
  <si>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</si>
  <si>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</si>
  <si>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</si>
  <si>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</si>
  <si>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</si>
  <si>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</si>
  <si>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</si>
  <si>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</si>
  <si>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</si>
  <si>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</si>
  <si>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</si>
  <si>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</si>
  <si>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</si>
  <si>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</si>
  <si>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</si>
  <si>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</si>
  <si>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</si>
  <si>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</si>
  <si>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</si>
  <si>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</si>
  <si>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</si>
  <si>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</si>
  <si>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</si>
  <si>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</si>
  <si>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</si>
  <si>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</si>
  <si>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</si>
  <si>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</si>
  <si>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</si>
  <si>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</si>
  <si>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</si>
  <si>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</si>
  <si>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</si>
  <si>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</si>
  <si>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</si>
  <si>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</si>
  <si>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</si>
  <si>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</si>
  <si>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</si>
  <si>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</si>
  <si>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</si>
  <si>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</si>
  <si>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</si>
  <si>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</si>
  <si>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</si>
  <si>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</si>
  <si>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</si>
  <si>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</si>
  <si>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</si>
  <si>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</si>
  <si>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</si>
  <si>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</si>
  <si>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</si>
  <si>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</si>
  <si>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</si>
  <si>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</si>
  <si>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</si>
  <si>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</si>
  <si>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</si>
  <si>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</si>
  <si>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</si>
  <si>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</si>
  <si>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</si>
  <si>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</si>
  <si>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</si>
  <si>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</si>
  <si>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</si>
  <si>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</si>
  <si>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</si>
  <si>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</si>
  <si>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</si>
  <si>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</si>
  <si>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</si>
  <si>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</si>
  <si>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</si>
  <si>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</si>
  <si>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</si>
  <si>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</si>
  <si>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</si>
  <si>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</si>
  <si>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</si>
  <si>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</si>
  <si>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</si>
  <si>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</si>
  <si>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</si>
  <si>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</si>
  <si>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</si>
  <si>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</si>
  <si>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</si>
  <si>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</si>
  <si>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</si>
  <si>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</si>
  <si>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</si>
  <si>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</si>
  <si>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</si>
  <si>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</si>
  <si>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</si>
  <si>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</si>
  <si>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</si>
  <si>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</si>
  <si>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</si>
  <si>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</si>
  <si>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</si>
  <si>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</si>
  <si>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</si>
  <si>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</si>
  <si>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</si>
  <si>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</si>
  <si>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</si>
  <si>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</si>
  <si>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</si>
  <si>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</si>
  <si>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</si>
  <si>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</si>
  <si>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</si>
  <si>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</si>
  <si>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</si>
  <si>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</si>
  <si>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</si>
  <si>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</si>
  <si>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</si>
  <si>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</si>
  <si>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</si>
  <si>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</si>
  <si>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</si>
  <si>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</si>
  <si>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</si>
  <si>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</si>
  <si>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</si>
  <si>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</si>
  <si>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</si>
  <si>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</si>
  <si>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</si>
  <si>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</si>
  <si>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</si>
  <si>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</si>
  <si>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</si>
  <si>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</si>
  <si>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</si>
  <si>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</si>
  <si>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</si>
  <si>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</si>
  <si>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</si>
  <si>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</si>
  <si>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</si>
  <si>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</si>
  <si>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</si>
  <si>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</si>
  <si>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</si>
  <si>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</si>
  <si>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</si>
  <si>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</si>
  <si>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</si>
  <si>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</si>
  <si>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</si>
  <si>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</si>
  <si>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</si>
  <si>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</si>
  <si>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</si>
  <si>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</si>
  <si>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</si>
  <si>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</si>
  <si>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</si>
  <si>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</si>
  <si>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</si>
  <si>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</si>
  <si>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</si>
  <si>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</si>
  <si>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</si>
  <si>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</si>
  <si>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</si>
  <si>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</si>
  <si>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</si>
  <si>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</si>
  <si>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</si>
  <si>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</si>
  <si>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</si>
  <si>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</si>
  <si>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</si>
  <si>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</si>
  <si>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</si>
  <si>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</si>
  <si>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</si>
  <si>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</si>
  <si>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</si>
  <si>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</si>
  <si>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</si>
  <si>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</si>
  <si>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</si>
  <si>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</si>
  <si>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</si>
  <si>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</si>
  <si>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</si>
  <si>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</si>
  <si>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</si>
  <si>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</si>
  <si>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</si>
  <si>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</si>
  <si>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</si>
  <si>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</si>
  <si>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</si>
  <si>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</si>
  <si>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</si>
  <si>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</si>
  <si>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</si>
  <si>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</si>
  <si>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</si>
  <si>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</si>
  <si>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</si>
  <si>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</si>
  <si>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</si>
  <si>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</si>
  <si>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</si>
  <si>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</si>
  <si>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</si>
  <si>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</si>
  <si>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</si>
  <si>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</si>
  <si>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</si>
  <si>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</si>
  <si>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</si>
  <si>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</si>
  <si>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</si>
  <si>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</si>
  <si>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</si>
  <si>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</si>
  <si>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</si>
  <si>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</si>
  <si>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</si>
  <si>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</si>
  <si>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</si>
  <si>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</si>
  <si>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</si>
  <si>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</si>
  <si>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</si>
  <si>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</si>
  <si>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</si>
  <si>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</si>
  <si>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</si>
  <si>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</si>
  <si>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</si>
  <si>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</si>
  <si>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</si>
  <si>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</si>
  <si>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</si>
  <si>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</si>
  <si>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</si>
  <si>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</si>
  <si>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</si>
  <si>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</si>
  <si>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</si>
  <si>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</si>
  <si>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</si>
  <si>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</si>
  <si>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</si>
  <si>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</si>
  <si>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</si>
  <si>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</si>
  <si>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</si>
  <si>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</si>
  <si>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</si>
  <si>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</si>
  <si>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</si>
  <si>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</si>
  <si>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</si>
  <si>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</si>
  <si>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</si>
  <si>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</si>
  <si>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</si>
  <si>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</si>
  <si>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</si>
  <si>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</si>
  <si>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</si>
  <si>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</si>
  <si>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</si>
  <si>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</si>
  <si>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</si>
  <si>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</si>
  <si>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</si>
  <si>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</si>
  <si>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</si>
  <si>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</si>
  <si>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</si>
  <si>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</si>
  <si>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</si>
  <si>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</si>
  <si>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</si>
  <si>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</si>
  <si>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</si>
  <si>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</si>
  <si>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</si>
  <si>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</si>
  <si>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</si>
  <si>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</si>
  <si>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</si>
  <si>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</si>
  <si>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</si>
  <si>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</si>
  <si>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</si>
  <si>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</si>
  <si>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</si>
  <si>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</si>
  <si>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</si>
  <si>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</si>
  <si>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</si>
  <si>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</si>
  <si>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</si>
  <si>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</si>
  <si>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</si>
  <si>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</si>
  <si>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</si>
  <si>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</si>
  <si>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</si>
  <si>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</si>
  <si>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</si>
  <si>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</si>
  <si>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</si>
  <si>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</si>
  <si>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</si>
  <si>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</si>
  <si>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</si>
  <si>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</si>
  <si>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</si>
  <si>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</si>
  <si>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</si>
  <si>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</si>
  <si>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</si>
  <si>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</si>
  <si>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</si>
  <si>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</si>
  <si>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</si>
  <si>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</si>
  <si>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</si>
  <si>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</si>
  <si>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</si>
  <si>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</si>
  <si>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</si>
  <si>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</si>
  <si>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</si>
  <si>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</si>
  <si>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</si>
  <si>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</si>
  <si>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</si>
  <si>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</si>
  <si>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</si>
  <si>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</si>
  <si>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</si>
  <si>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</si>
  <si>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</si>
  <si>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</si>
  <si>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</si>
  <si>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</si>
  <si>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</si>
  <si>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</si>
  <si>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</si>
  <si>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</si>
  <si>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</si>
  <si>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</si>
  <si>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</si>
  <si>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</si>
  <si>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</si>
  <si>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</si>
  <si>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</si>
  <si>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</si>
  <si>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</si>
  <si>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</si>
  <si>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</si>
  <si>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</si>
  <si>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</si>
  <si>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</si>
  <si>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</si>
  <si>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</si>
  <si>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</si>
  <si>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</si>
  <si>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</si>
  <si>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</si>
  <si>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</si>
  <si>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</si>
  <si>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</si>
  <si>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</si>
  <si>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</si>
  <si>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</si>
  <si>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</si>
  <si>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</si>
  <si>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</si>
  <si>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</si>
  <si>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</si>
  <si>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</si>
  <si>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</si>
  <si>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</si>
  <si>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</si>
  <si>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</si>
  <si>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</si>
  <si>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</si>
  <si>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</si>
  <si>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</si>
  <si>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</si>
  <si>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</si>
  <si>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</si>
  <si>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</si>
  <si>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</si>
  <si>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</si>
  <si>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</si>
  <si>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</si>
  <si>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</si>
  <si>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</si>
  <si>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</si>
  <si>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</si>
  <si>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</si>
  <si>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</si>
  <si>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</si>
  <si>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</si>
  <si>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</si>
  <si>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</si>
  <si>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</si>
  <si>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</si>
  <si>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</si>
  <si>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</si>
  <si>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</si>
  <si>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</si>
  <si>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</si>
  <si>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</si>
  <si>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</si>
  <si>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</si>
  <si>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</si>
  <si>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</si>
  <si>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</si>
  <si>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</si>
  <si>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</si>
  <si>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</si>
  <si>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</si>
  <si>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</si>
  <si>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</si>
  <si>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</si>
  <si>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</si>
  <si>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</si>
  <si>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</si>
  <si>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</si>
  <si>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</si>
  <si>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</si>
  <si>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</si>
  <si>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</si>
  <si>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</si>
  <si>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</si>
  <si>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</si>
  <si>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</si>
  <si>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</si>
  <si>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</si>
  <si>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</si>
  <si>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</si>
  <si>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</si>
  <si>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</si>
  <si>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</si>
  <si>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</si>
  <si>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</si>
  <si>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</si>
  <si>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</si>
  <si>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</si>
  <si>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</si>
  <si>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</si>
  <si>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</si>
  <si>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</si>
  <si>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</si>
  <si>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</si>
  <si>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</si>
  <si>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</si>
  <si>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</si>
  <si>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</si>
  <si>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</si>
  <si>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</si>
  <si>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</si>
  <si>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</si>
  <si>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</si>
  <si>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</si>
  <si>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</si>
  <si>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</si>
  <si>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</si>
  <si>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</si>
  <si>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</si>
  <si>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</si>
  <si>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</si>
  <si>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</si>
  <si>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</si>
  <si>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</si>
  <si>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</si>
  <si>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</si>
  <si>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</si>
  <si>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</si>
  <si>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</si>
  <si>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</si>
  <si>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</si>
  <si>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</si>
  <si>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</si>
  <si>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</si>
  <si>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</si>
  <si>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</si>
  <si>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</si>
  <si>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</si>
  <si>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</si>
  <si>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</si>
  <si>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</si>
  <si>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</si>
  <si>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</si>
  <si>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</si>
  <si>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</si>
  <si>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</si>
  <si>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</si>
  <si>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</si>
  <si>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</si>
  <si>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</si>
  <si>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</si>
  <si>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</si>
  <si>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</si>
  <si>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</si>
  <si>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</si>
  <si>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</si>
  <si>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</si>
  <si>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</si>
  <si>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</si>
  <si>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</si>
  <si>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</si>
  <si>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</si>
  <si>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</si>
  <si>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</si>
  <si>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</si>
  <si>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</si>
  <si>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</si>
  <si>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</si>
  <si>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</si>
  <si>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</si>
  <si>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</si>
  <si>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</si>
  <si>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</si>
  <si>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</si>
  <si>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</si>
  <si>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</si>
  <si>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</si>
  <si>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</si>
  <si>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</si>
  <si>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</si>
  <si>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</si>
  <si>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</si>
  <si>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</si>
  <si>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</si>
  <si>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</si>
  <si>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</si>
  <si>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</si>
  <si>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</si>
  <si>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</si>
  <si>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</si>
  <si>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</si>
  <si>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</si>
  <si>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</si>
  <si>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</si>
  <si>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</si>
  <si>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</si>
  <si>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</si>
  <si>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</si>
  <si>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</si>
  <si>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</si>
  <si>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</si>
  <si>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</si>
  <si>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</si>
  <si>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</si>
  <si>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</si>
  <si>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</si>
  <si>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</si>
  <si>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</si>
  <si>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</si>
  <si>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</si>
  <si>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</si>
  <si>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</si>
  <si>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</si>
  <si>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</si>
  <si>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</si>
  <si>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</si>
  <si>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</si>
  <si>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</si>
  <si>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</si>
  <si>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</si>
  <si>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</si>
  <si>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</si>
  <si>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</si>
  <si>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</si>
  <si>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</si>
  <si>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</si>
  <si>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</si>
  <si>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</si>
  <si>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</si>
  <si>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</si>
  <si>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</si>
  <si>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</si>
  <si>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</si>
  <si>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</si>
  <si>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</si>
  <si>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</si>
  <si>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</si>
  <si>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</si>
  <si>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</si>
  <si>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</si>
  <si>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</si>
  <si>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</si>
  <si>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</si>
  <si>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</si>
  <si>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</si>
  <si>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</si>
  <si>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</si>
  <si>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</si>
  <si>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</si>
  <si>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</si>
  <si>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</si>
  <si>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</si>
  <si>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</si>
  <si>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</si>
  <si>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</si>
  <si>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</si>
  <si>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</si>
  <si>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</si>
  <si>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</si>
  <si>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</si>
  <si>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</si>
  <si>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</si>
  <si>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</si>
  <si>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</si>
  <si>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</si>
  <si>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</si>
  <si>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</si>
  <si>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</si>
  <si>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</si>
  <si>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</si>
  <si>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</si>
  <si>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</si>
  <si>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</si>
  <si>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</si>
  <si>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</si>
  <si>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</si>
  <si>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</si>
  <si>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</si>
  <si>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</si>
  <si>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</si>
  <si>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</si>
  <si>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</si>
  <si>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</si>
  <si>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</si>
  <si>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</si>
  <si>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</si>
  <si>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</si>
  <si>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</si>
  <si>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</si>
  <si>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</si>
  <si>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</si>
  <si>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</si>
  <si>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</si>
  <si>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</si>
  <si>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</si>
  <si>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</si>
  <si>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</si>
  <si>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</si>
  <si>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</si>
  <si>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</si>
  <si>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</si>
  <si>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</si>
  <si>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</si>
  <si>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</si>
  <si>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</si>
  <si>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</si>
  <si>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</si>
  <si>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</si>
  <si>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</si>
  <si>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</si>
  <si>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</si>
  <si>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</si>
  <si>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</si>
  <si>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</si>
  <si>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</si>
  <si>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</si>
  <si>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</si>
  <si>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</si>
  <si>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</si>
  <si>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</si>
  <si>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</si>
  <si>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</si>
  <si>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</si>
  <si>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</si>
  <si>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</si>
  <si>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</si>
  <si>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</si>
  <si>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</si>
  <si>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</si>
  <si>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</si>
  <si>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</si>
  <si>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</si>
  <si>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</si>
  <si>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</si>
  <si>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</si>
  <si>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</si>
  <si>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</si>
  <si>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</si>
  <si>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</si>
  <si>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</si>
  <si>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</si>
  <si>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</si>
  <si>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</si>
  <si>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</si>
  <si>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</si>
  <si>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</si>
  <si>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</si>
  <si>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</si>
  <si>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</si>
  <si>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</si>
  <si>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</si>
  <si>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</si>
  <si>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</si>
  <si>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</si>
  <si>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</si>
  <si>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</si>
  <si>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</si>
  <si>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</si>
  <si>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</si>
  <si>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</si>
  <si>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</si>
  <si>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</si>
  <si>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</si>
  <si>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</si>
  <si>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</si>
  <si>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</si>
  <si>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</si>
  <si>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</si>
  <si>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</si>
  <si>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</si>
  <si>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</si>
  <si>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</si>
  <si>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</si>
  <si>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</si>
  <si>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</si>
  <si>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</si>
  <si>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</si>
  <si>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</si>
  <si>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</si>
  <si>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</si>
  <si>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</si>
  <si>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</si>
  <si>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</si>
  <si>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</si>
  <si>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</si>
  <si>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</si>
  <si>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</si>
  <si>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</si>
  <si>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</si>
  <si>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</si>
  <si>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</si>
  <si>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</si>
  <si>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</si>
  <si>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</si>
  <si>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</si>
  <si>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</si>
  <si>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</si>
  <si>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</si>
  <si>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</si>
  <si>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</si>
  <si>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</si>
  <si>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</si>
  <si>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</si>
  <si>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</si>
  <si>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</si>
  <si>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</si>
  <si>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</si>
  <si>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</si>
  <si>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</si>
  <si>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</si>
  <si>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</si>
  <si>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</si>
  <si>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</si>
  <si>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</si>
  <si>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</si>
  <si>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</si>
  <si>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</si>
  <si>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</si>
  <si>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</si>
  <si>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</si>
  <si>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</si>
  <si>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</si>
  <si>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</si>
  <si>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</si>
  <si>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</si>
  <si>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</si>
  <si>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</si>
  <si>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</si>
  <si>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</si>
  <si>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</si>
  <si>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</si>
  <si>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</si>
  <si>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</si>
  <si>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</si>
  <si>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</si>
  <si>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</si>
  <si>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</si>
  <si>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</si>
  <si>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</si>
  <si>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</si>
  <si>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</si>
  <si>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</si>
  <si>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</si>
  <si>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</si>
  <si>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</si>
  <si>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</si>
  <si>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</si>
  <si>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</si>
  <si>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</si>
  <si>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</si>
  <si>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</si>
  <si>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</si>
  <si>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</si>
  <si>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</si>
  <si>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</si>
  <si>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</si>
  <si>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</si>
  <si>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</si>
  <si>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</si>
  <si>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</si>
  <si>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</si>
  <si>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</si>
  <si>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</si>
  <si>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</si>
  <si>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</si>
  <si>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</si>
  <si>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</si>
  <si>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</si>
  <si>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</si>
  <si>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</si>
  <si>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</si>
  <si>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</si>
  <si>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</si>
  <si>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</si>
  <si>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</si>
  <si>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</si>
  <si>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</si>
  <si>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</si>
  <si>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</si>
  <si>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</si>
  <si>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</si>
  <si>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</si>
  <si>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</si>
  <si>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</si>
  <si>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</si>
  <si>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</si>
  <si>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</si>
  <si>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</si>
  <si>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</si>
  <si>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</si>
  <si>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</si>
  <si>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</si>
  <si>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</si>
  <si>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</si>
  <si>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</si>
  <si>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</si>
  <si>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</si>
  <si>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</si>
  <si>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</si>
  <si>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</si>
  <si>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</si>
  <si>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</si>
  <si>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</si>
  <si>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</si>
  <si>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</si>
  <si>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</si>
  <si>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</si>
  <si>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</si>
  <si>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</si>
  <si>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</si>
  <si>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</si>
  <si>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</si>
  <si>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</si>
  <si>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</si>
  <si>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</si>
  <si>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</si>
  <si>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</si>
  <si>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</si>
  <si>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</si>
  <si>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</si>
  <si>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</si>
  <si>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</si>
  <si>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</si>
  <si>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</si>
  <si>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</si>
  <si>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</si>
  <si>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</si>
  <si>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</si>
  <si>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</si>
  <si>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</si>
  <si>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</si>
  <si>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</si>
  <si>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</si>
  <si>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</si>
  <si>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</si>
  <si>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</si>
  <si>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</si>
  <si>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</si>
  <si>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</si>
  <si>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</si>
  <si>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</si>
  <si>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</si>
  <si>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</si>
  <si>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</si>
  <si>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</si>
  <si>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</si>
  <si>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</si>
  <si>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</si>
  <si>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</si>
  <si>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</si>
  <si>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</si>
  <si>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</si>
  <si>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</si>
  <si>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</si>
  <si>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</si>
  <si>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</si>
  <si>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</si>
  <si>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</si>
  <si>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</si>
  <si>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</si>
  <si>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</si>
  <si>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</si>
  <si>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</si>
  <si>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</si>
  <si>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</si>
  <si>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</si>
  <si>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</si>
  <si>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</si>
  <si>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</si>
  <si>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</si>
  <si>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</si>
  <si>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</si>
  <si>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</si>
  <si>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</si>
  <si>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</si>
  <si>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</si>
  <si>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</si>
  <si>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</si>
  <si>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</si>
  <si>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</si>
  <si>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</si>
  <si>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</si>
  <si>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</si>
  <si>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</si>
  <si>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</si>
  <si>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</si>
  <si>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</si>
  <si>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</si>
  <si>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</si>
  <si>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</si>
  <si>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</si>
  <si>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</si>
  <si>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</si>
  <si>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</si>
  <si>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</si>
  <si>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</si>
  <si>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</si>
  <si>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</si>
  <si>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</si>
  <si>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</si>
  <si>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</si>
  <si>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</si>
  <si>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</si>
  <si>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</si>
  <si>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</si>
  <si>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</si>
  <si>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</si>
  <si>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</si>
  <si>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</si>
  <si>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</si>
  <si>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</si>
  <si>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</si>
  <si>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</si>
  <si>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</si>
  <si>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</si>
  <si>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</si>
  <si>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</si>
  <si>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</si>
  <si>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</si>
  <si>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</si>
  <si>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</si>
  <si>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</si>
  <si>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</si>
  <si>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</si>
  <si>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</si>
  <si>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</si>
  <si>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</si>
  <si>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</si>
  <si>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</si>
  <si>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</si>
  <si>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</si>
  <si>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</si>
  <si>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</si>
  <si>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</si>
  <si>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</si>
  <si>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</si>
  <si>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</si>
  <si>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</si>
  <si>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</si>
  <si>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</si>
  <si>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</si>
  <si>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</si>
  <si>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</si>
  <si>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</si>
  <si>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</si>
  <si>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</si>
  <si>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</si>
  <si>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</si>
  <si>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</si>
  <si>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</si>
  <si>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</si>
  <si>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</si>
  <si>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</si>
  <si>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</si>
  <si>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</si>
  <si>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</si>
  <si>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</si>
  <si>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</si>
  <si>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</si>
  <si>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</si>
  <si>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</si>
  <si>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</si>
  <si>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</si>
  <si>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</si>
  <si>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</si>
  <si>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</si>
  <si>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</si>
  <si>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</si>
  <si>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</si>
  <si>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</si>
  <si>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</si>
  <si>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</si>
  <si>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</si>
  <si>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</si>
  <si>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</si>
  <si>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</si>
  <si>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</si>
  <si>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</si>
  <si>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</si>
  <si>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</si>
  <si>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</si>
  <si>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</si>
  <si>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</si>
  <si>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</si>
  <si>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</si>
  <si>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</si>
  <si>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</si>
  <si>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</si>
  <si>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</si>
  <si>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</si>
  <si>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</si>
  <si>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</si>
  <si>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</si>
  <si>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</si>
  <si>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</si>
  <si>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</si>
  <si>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</si>
  <si>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</si>
  <si>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</si>
  <si>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</si>
  <si>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</si>
  <si>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</si>
  <si>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</si>
  <si>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</si>
  <si>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</si>
  <si>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</si>
  <si>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</si>
  <si>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</si>
  <si>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</si>
  <si>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</si>
  <si>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</si>
  <si>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</si>
  <si>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</si>
  <si>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</si>
  <si>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</si>
  <si>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</si>
  <si>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</si>
  <si>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</si>
  <si>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</si>
  <si>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</si>
  <si>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</si>
  <si>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</si>
  <si>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</si>
  <si>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</si>
  <si>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</si>
  <si>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</si>
  <si>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</si>
  <si>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</si>
  <si>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</si>
  <si>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</si>
  <si>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</si>
  <si>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</si>
  <si>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</si>
  <si>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</si>
  <si>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</si>
  <si>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</si>
  <si>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</si>
  <si>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</si>
  <si>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</si>
  <si>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</si>
  <si>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</si>
  <si>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</si>
  <si>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</si>
  <si>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</si>
  <si>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</si>
  <si>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</si>
  <si>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</si>
  <si>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</si>
  <si>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</si>
  <si>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</si>
  <si>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</si>
  <si>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</si>
  <si>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</si>
  <si>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</si>
  <si>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</si>
  <si>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</si>
  <si>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</si>
  <si>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</si>
  <si>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</si>
  <si>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</si>
  <si>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</si>
  <si>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</si>
  <si>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</si>
  <si>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</si>
  <si>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</si>
  <si>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</si>
  <si>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</si>
  <si>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</si>
  <si>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</si>
  <si>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</si>
  <si>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</si>
  <si>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</si>
  <si>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</si>
  <si>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</si>
  <si>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</si>
  <si>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</si>
  <si>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</si>
  <si>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</si>
  <si>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</si>
  <si>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</si>
  <si>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</si>
  <si>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</si>
  <si>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</si>
  <si>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</si>
  <si>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</si>
  <si>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</si>
  <si>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</si>
  <si>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</si>
  <si>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</si>
  <si>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</si>
  <si>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</si>
  <si>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</si>
  <si>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</si>
  <si>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</si>
  <si>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</si>
  <si>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</si>
  <si>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</si>
  <si>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</si>
  <si>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</si>
  <si>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</si>
  <si>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</si>
  <si>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</si>
  <si>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</si>
  <si>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</si>
  <si>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</si>
  <si>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</si>
  <si>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</si>
  <si>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</si>
  <si>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</si>
  <si>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</si>
  <si>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</si>
  <si>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</si>
  <si>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</si>
  <si>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</si>
  <si>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</si>
  <si>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</si>
  <si>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</si>
  <si>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</si>
  <si>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</si>
  <si>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</si>
  <si>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</si>
  <si>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</si>
  <si>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</si>
  <si>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</si>
  <si>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</si>
  <si>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</si>
  <si>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</si>
  <si>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</si>
  <si>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</si>
  <si>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</si>
  <si>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</si>
  <si>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</si>
  <si>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</si>
  <si>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</si>
  <si>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</si>
  <si>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</si>
  <si>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</si>
  <si>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</si>
  <si>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</si>
  <si>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</si>
  <si>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</si>
  <si>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</si>
  <si>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</si>
  <si>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</si>
  <si>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</si>
  <si>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</si>
  <si>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</si>
  <si>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</si>
  <si>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</si>
  <si>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</si>
  <si>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</si>
  <si>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</si>
  <si>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</si>
  <si>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</si>
  <si>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</si>
  <si>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</si>
  <si>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</si>
  <si>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</si>
  <si>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</si>
  <si>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</si>
  <si>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</si>
  <si>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</si>
  <si>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</si>
  <si>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</si>
  <si>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</si>
  <si>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</si>
  <si>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</si>
  <si>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</si>
  <si>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</si>
  <si>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</si>
  <si>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</si>
  <si>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</si>
  <si>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</si>
  <si>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</si>
  <si>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</si>
  <si>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</si>
  <si>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</si>
  <si>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</si>
  <si>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</si>
  <si>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</si>
  <si>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</si>
  <si>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</si>
  <si>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</si>
  <si>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</si>
  <si>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</si>
  <si>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</si>
  <si>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</si>
  <si>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</si>
  <si>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</si>
  <si>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</si>
  <si>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</si>
  <si>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</si>
  <si>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</si>
  <si>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</si>
  <si>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</si>
  <si>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</si>
  <si>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</si>
  <si>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</si>
  <si>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</si>
  <si>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</si>
  <si>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</si>
  <si>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</si>
  <si>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</si>
  <si>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</si>
  <si>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</si>
  <si>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</si>
  <si>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</si>
  <si>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</si>
  <si>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</si>
  <si>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</si>
  <si>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</si>
  <si>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</si>
  <si>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</si>
  <si>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</si>
  <si>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</si>
  <si>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</si>
  <si>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</si>
  <si>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</si>
  <si>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</si>
  <si>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</si>
  <si>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</si>
  <si>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</si>
  <si>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</si>
  <si>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</si>
  <si>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</si>
  <si>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</si>
  <si>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</si>
  <si>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</si>
  <si>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</si>
  <si>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</si>
  <si>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</si>
  <si>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</si>
  <si>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</si>
  <si>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</si>
  <si>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</si>
  <si>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</si>
  <si>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</si>
  <si>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</si>
  <si>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</si>
  <si>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</si>
  <si>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</si>
  <si>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</si>
  <si>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</si>
  <si>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</si>
  <si>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</si>
  <si>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</si>
  <si>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</si>
  <si>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</si>
  <si>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</si>
  <si>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</si>
  <si>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</si>
  <si>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</si>
  <si>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</si>
  <si>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</si>
  <si>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</si>
  <si>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</si>
  <si>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</si>
  <si>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</si>
  <si>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</si>
  <si>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</si>
  <si>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</si>
  <si>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</si>
  <si>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</si>
  <si>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</si>
  <si>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</si>
  <si>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</si>
  <si>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</si>
  <si>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</si>
  <si>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</si>
  <si>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</si>
  <si>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</si>
  <si>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</si>
  <si>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</si>
  <si>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</si>
  <si>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</si>
  <si>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</si>
  <si>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</si>
  <si>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</si>
  <si>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</si>
  <si>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</si>
  <si>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</si>
  <si>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</si>
  <si>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</si>
  <si>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</si>
  <si>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</si>
  <si>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</si>
  <si>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</si>
  <si>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</si>
  <si>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</si>
  <si>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</si>
  <si>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</si>
  <si>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</si>
  <si>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</si>
  <si>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</si>
  <si>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</si>
  <si>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</si>
  <si>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</si>
  <si>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</si>
  <si>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</si>
  <si>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</si>
  <si>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</si>
  <si>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</si>
  <si>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</si>
  <si>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</si>
  <si>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</si>
  <si>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</si>
  <si>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</si>
  <si>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</si>
  <si>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</si>
  <si>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</si>
  <si>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</si>
  <si>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</si>
  <si>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</si>
  <si>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</si>
  <si>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</si>
  <si>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</si>
  <si>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</si>
  <si>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</si>
  <si>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</si>
  <si>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</si>
  <si>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</si>
  <si>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</si>
  <si>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</si>
  <si>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</si>
  <si>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</si>
  <si>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</si>
  <si>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</si>
  <si>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</si>
  <si>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</si>
  <si>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</si>
  <si>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</si>
  <si>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</si>
  <si>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</si>
  <si>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</si>
  <si>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</si>
  <si>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</si>
  <si>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</si>
  <si>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</si>
  <si>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</si>
  <si>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</si>
  <si>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</si>
  <si>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</si>
  <si>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</si>
  <si>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</si>
  <si>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</si>
  <si>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</si>
  <si>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</si>
  <si>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</si>
  <si>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</si>
  <si>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</si>
  <si>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</si>
  <si>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</si>
  <si>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</si>
  <si>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</si>
  <si>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</si>
  <si>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</si>
  <si>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</si>
  <si>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</si>
  <si>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</si>
  <si>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</si>
  <si>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</si>
  <si>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</si>
  <si>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</si>
  <si>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</si>
  <si>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</si>
  <si>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</si>
  <si>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</si>
  <si>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</si>
  <si>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</si>
  <si>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</si>
  <si>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</si>
  <si>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</si>
  <si>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</si>
  <si>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</si>
  <si>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</si>
  <si>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</si>
  <si>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</si>
  <si>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</si>
  <si>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</si>
  <si>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</si>
  <si>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</si>
  <si>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</si>
  <si>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</si>
  <si>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</si>
  <si>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</si>
  <si>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</si>
  <si>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</si>
  <si>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</si>
  <si>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</si>
  <si>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</si>
  <si>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</si>
  <si>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</si>
  <si>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</si>
  <si>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</si>
  <si>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</si>
  <si>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</si>
  <si>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</si>
  <si>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</si>
  <si>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</si>
  <si>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</si>
  <si>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</si>
  <si>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</si>
  <si>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</si>
  <si>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</si>
  <si>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</si>
  <si>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</si>
  <si>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</si>
  <si>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</si>
  <si>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</si>
  <si>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</si>
  <si>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</si>
  <si>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</si>
  <si>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</si>
  <si>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</si>
  <si>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</si>
  <si>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</si>
  <si>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</si>
  <si>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</si>
  <si>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</si>
  <si>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</si>
  <si>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</si>
  <si>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</si>
  <si>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</si>
  <si>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</si>
  <si>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</si>
  <si>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</si>
  <si>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</si>
  <si>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</si>
  <si>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</si>
  <si>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</si>
  <si>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</si>
  <si>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</si>
  <si>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</si>
  <si>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</si>
  <si>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</si>
  <si>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</si>
  <si>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</si>
  <si>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</si>
  <si>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</si>
  <si>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</si>
  <si>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</si>
  <si>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</si>
  <si>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</si>
  <si>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</si>
  <si>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</si>
  <si>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</si>
  <si>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</si>
  <si>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</si>
  <si>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</si>
  <si>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</si>
  <si>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</si>
  <si>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</si>
  <si>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</si>
  <si>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</si>
  <si>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</si>
  <si>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</si>
  <si>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</si>
  <si>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</si>
  <si>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</si>
  <si>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</si>
  <si>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</si>
  <si>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</si>
  <si>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</si>
  <si>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</si>
  <si>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</si>
  <si>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</si>
  <si>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</si>
  <si>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</si>
  <si>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</si>
  <si>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</si>
  <si>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</si>
  <si>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</si>
  <si>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</si>
  <si>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</si>
  <si>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</si>
  <si>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</si>
  <si>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</si>
  <si>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</si>
  <si>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</si>
  <si>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</si>
  <si>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</si>
  <si>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</si>
  <si>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</si>
  <si>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</si>
  <si>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</si>
  <si>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</si>
  <si>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</si>
  <si>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</si>
  <si>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</si>
  <si>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</si>
  <si>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</si>
  <si>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</si>
  <si>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</si>
  <si>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</si>
  <si>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</si>
  <si>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</si>
  <si>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</si>
  <si>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</si>
  <si>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</si>
  <si>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</si>
  <si>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</si>
  <si>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</si>
  <si>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</si>
  <si>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</si>
  <si>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</si>
  <si>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</si>
  <si>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</si>
  <si>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</si>
  <si>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</si>
  <si>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</si>
  <si>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</si>
  <si>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</si>
  <si>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</si>
  <si>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</si>
  <si>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</si>
  <si>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</si>
  <si>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</si>
  <si>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</si>
  <si>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</si>
  <si>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</si>
  <si>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</si>
  <si>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</si>
  <si>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</si>
  <si>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</si>
  <si>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</si>
  <si>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</si>
  <si>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</si>
  <si>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</si>
  <si>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</si>
  <si>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</si>
  <si>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</si>
  <si>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</si>
  <si>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</si>
  <si>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</si>
  <si>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</si>
  <si>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</si>
  <si>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</si>
  <si>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</si>
  <si>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</si>
  <si>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</si>
  <si>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</si>
  <si>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</si>
  <si>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</si>
  <si>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</si>
  <si>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</si>
  <si>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</si>
  <si>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</si>
  <si>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</si>
  <si>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</si>
  <si>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</si>
  <si>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</si>
  <si>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</si>
  <si>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</si>
  <si>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</si>
  <si>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</si>
  <si>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</si>
  <si>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</si>
  <si>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</si>
  <si>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</si>
  <si>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</si>
  <si>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</si>
  <si>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</si>
  <si>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</si>
  <si>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</si>
  <si>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</si>
  <si>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</si>
  <si>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</si>
  <si>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</si>
  <si>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</si>
  <si>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</si>
  <si>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</si>
  <si>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</si>
  <si>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</si>
  <si>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</si>
  <si>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</si>
  <si>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</si>
  <si>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</si>
  <si>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</si>
  <si>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</si>
  <si>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</si>
  <si>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</si>
  <si>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</si>
  <si>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</si>
  <si>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</si>
  <si>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</si>
  <si>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</si>
  <si>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</si>
  <si>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</si>
  <si>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</si>
  <si>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</si>
  <si>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</si>
  <si>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</si>
  <si>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</si>
  <si>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</si>
  <si>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</si>
  <si>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</si>
  <si>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</si>
  <si>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</si>
  <si>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</si>
  <si>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</si>
  <si>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</si>
  <si>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</si>
  <si>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</si>
  <si>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</si>
  <si>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</si>
  <si>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</si>
  <si>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</si>
  <si>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</si>
  <si>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</si>
  <si>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</si>
  <si>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</si>
  <si>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</si>
  <si>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</si>
  <si>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</si>
  <si>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</si>
  <si>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</si>
  <si>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</si>
  <si>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</si>
  <si>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</si>
  <si>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</si>
  <si>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</si>
  <si>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</si>
  <si>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</si>
  <si>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</si>
  <si>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</si>
  <si>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</si>
  <si>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</si>
  <si>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</si>
  <si>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</si>
  <si>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</si>
  <si>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</si>
  <si>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</si>
  <si>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</si>
  <si>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</si>
  <si>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</si>
  <si>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</si>
  <si>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</si>
  <si>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</si>
  <si>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</si>
  <si>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</si>
  <si>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</si>
  <si>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</si>
  <si>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</si>
  <si>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</si>
  <si>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</si>
  <si>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</si>
  <si>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</si>
  <si>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</si>
  <si>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</si>
  <si>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</si>
  <si>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</si>
  <si>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</si>
  <si>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</si>
  <si>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</si>
  <si>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</si>
  <si>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</si>
  <si>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</si>
  <si>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</si>
  <si>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</si>
  <si>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</si>
  <si>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</si>
  <si>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</si>
  <si>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</si>
  <si>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</si>
  <si>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</si>
  <si>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</si>
  <si>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</si>
  <si>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</si>
  <si>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</si>
  <si>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</si>
  <si>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</si>
  <si>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</si>
  <si>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</si>
  <si>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</si>
  <si>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</si>
  <si>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</si>
  <si>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</si>
  <si>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</si>
  <si>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</si>
  <si>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</si>
  <si>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</si>
  <si>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</si>
  <si>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</si>
  <si>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</si>
  <si>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</si>
  <si>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</si>
  <si>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</si>
  <si>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</si>
  <si>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</si>
  <si>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</si>
  <si>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</si>
  <si>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</si>
  <si>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</si>
  <si>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</si>
  <si>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</si>
  <si>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</si>
  <si>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</si>
  <si>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</si>
  <si>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</si>
  <si>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</si>
  <si>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</si>
  <si>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</si>
  <si>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</si>
  <si>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</si>
  <si>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</si>
  <si>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</si>
  <si>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</si>
  <si>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</si>
  <si>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</si>
  <si>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</si>
  <si>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</si>
  <si>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</si>
  <si>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</si>
  <si>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</si>
  <si>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</si>
  <si>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</si>
  <si>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</si>
  <si>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</si>
  <si>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</si>
  <si>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</si>
  <si>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</si>
  <si>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</si>
  <si>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</si>
  <si>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</si>
  <si>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</si>
  <si>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</si>
  <si>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</si>
  <si>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</si>
  <si>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</si>
  <si>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</si>
  <si>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</si>
  <si>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</si>
  <si>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</si>
  <si>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</si>
  <si>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</si>
  <si>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</si>
  <si>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</si>
  <si>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</si>
  <si>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</si>
  <si>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</si>
  <si>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</si>
  <si>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</si>
  <si>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</si>
  <si>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</si>
  <si>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</si>
  <si>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</si>
  <si>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</si>
  <si>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</si>
  <si>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</si>
  <si>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</si>
  <si>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</si>
  <si>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</si>
  <si>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</si>
  <si>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</si>
  <si>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</si>
  <si>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</si>
  <si>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</si>
  <si>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</si>
  <si>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</si>
  <si>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</si>
  <si>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</si>
  <si>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</si>
  <si>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</si>
  <si>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</si>
  <si>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</si>
  <si>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</si>
  <si>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</si>
  <si>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</si>
  <si>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</si>
  <si>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</si>
  <si>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</si>
  <si>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</si>
  <si>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</si>
  <si>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</si>
  <si>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</si>
  <si>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</si>
  <si>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</si>
  <si>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</si>
  <si>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</si>
  <si>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</si>
  <si>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</si>
  <si>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</si>
  <si>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</si>
  <si>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</si>
  <si>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</si>
  <si>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</si>
  <si>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</si>
  <si>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</si>
  <si>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</si>
  <si>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</si>
  <si>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</si>
  <si>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</si>
  <si>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</si>
  <si>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</si>
  <si>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</si>
  <si>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</si>
  <si>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</si>
  <si>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</si>
  <si>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</si>
  <si>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</si>
  <si>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</si>
  <si>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</si>
  <si>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</si>
  <si>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</si>
  <si>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</si>
  <si>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</si>
  <si>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</si>
  <si>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</si>
  <si>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</si>
  <si>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</si>
  <si>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</si>
  <si>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</si>
  <si>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</si>
  <si>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</si>
  <si>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</si>
  <si>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</si>
  <si>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</si>
  <si>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</si>
  <si>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</si>
  <si>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</si>
  <si>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</si>
  <si>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</si>
  <si>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</si>
  <si>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</si>
  <si>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</si>
  <si>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</si>
  <si>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</si>
  <si>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</si>
  <si>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</si>
  <si>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</si>
  <si>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</si>
  <si>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</si>
  <si>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</si>
  <si>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</si>
  <si>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</si>
  <si>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</si>
  <si>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</si>
  <si>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</si>
  <si>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</si>
  <si>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</si>
  <si>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</si>
  <si>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</si>
  <si>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</si>
  <si>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</si>
  <si>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</si>
  <si>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</si>
  <si>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</si>
  <si>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</si>
  <si>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</si>
  <si>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</si>
  <si>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</si>
  <si>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</si>
  <si>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</si>
  <si>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</si>
  <si>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</si>
  <si>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</si>
  <si>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</si>
  <si>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</si>
  <si>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</si>
  <si>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</si>
  <si>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</si>
  <si>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</si>
  <si>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</si>
  <si>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</si>
  <si>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</si>
  <si>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</si>
  <si>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</si>
  <si>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</si>
  <si>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</si>
  <si>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</si>
  <si>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</si>
  <si>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</si>
  <si>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</si>
  <si>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</si>
  <si>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</si>
  <si>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</si>
  <si>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</si>
  <si>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</si>
  <si>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HRBR EC  —  QUARTZ  |  Multi-Round Audit Tracker</t>
  </si>
  <si>
    <t>CT QTZ AGL 1003</t>
  </si>
  <si>
    <t>Quartz AGL 1003 Crystal Bianco Maple</t>
  </si>
  <si>
    <t>AGL</t>
  </si>
  <si>
    <t>CT QTZ AGL 1004</t>
  </si>
  <si>
    <t>Quartz AGL 1004 Crystal Burgundy Maple</t>
  </si>
  <si>
    <t>CT QTZ AGL 1005</t>
  </si>
  <si>
    <t>Quartz AGL 1005 Crystal Coasta Maple</t>
  </si>
  <si>
    <t>CT QTZ AGL 1006</t>
  </si>
  <si>
    <t>Quartz AGL 1006 Crystal Essel Brown</t>
  </si>
  <si>
    <t>CT QTZ AGL 1007</t>
  </si>
  <si>
    <t>Quartz AGL 1007 Crystal Galaxy</t>
  </si>
  <si>
    <t>CT QTZ AGL 1008</t>
  </si>
  <si>
    <t>Quartz AGL 1008 Crystal Graphite</t>
  </si>
  <si>
    <t>CT QTZ AGL 1009</t>
  </si>
  <si>
    <t>Quartz AGL 1009 Crystal Gres</t>
  </si>
  <si>
    <t>CT QTZ AGL 1011</t>
  </si>
  <si>
    <t>Quartz AGL 1011 Crystal Picasso</t>
  </si>
  <si>
    <t>CT QTZ AGL 1012</t>
  </si>
  <si>
    <t>Quartz AGL 1012 Crystal Royal Grigio</t>
  </si>
  <si>
    <t>CT QTZ AGL 1016</t>
  </si>
  <si>
    <t>Quartz AGL 1016 Crystal Tosco Fiero</t>
  </si>
  <si>
    <t>CT QTZ AGL 1017</t>
  </si>
  <si>
    <t>Quartz AGL 1017 Silken Anthracite</t>
  </si>
  <si>
    <t>CT QTZ AGL 1018</t>
  </si>
  <si>
    <t>Quartz AGL 1018 Silken Avalanche</t>
  </si>
  <si>
    <t>CT QTZ AGL 1019</t>
  </si>
  <si>
    <t>Quartz AGL 1019 Silken Bianco Desert</t>
  </si>
  <si>
    <t>CT QTZ AGL 1020</t>
  </si>
  <si>
    <t>Quartz AGL 1020 Silken Coasta Beige</t>
  </si>
  <si>
    <t>CT QTZ AGL 1021</t>
  </si>
  <si>
    <t>Quartz AGL 1021 Silken Coasta Ivory</t>
  </si>
  <si>
    <t>CT QTZ AGL 1022</t>
  </si>
  <si>
    <t>Quartz AGL 1022 Silken Ginger Tan</t>
  </si>
  <si>
    <t>CT QTZ AGL 1023</t>
  </si>
  <si>
    <t>Quartz AGL 1023 Silken New Mudpie</t>
  </si>
  <si>
    <t>CT QTZ AGL 1024</t>
  </si>
  <si>
    <t>Quartz AGL 1024 Silken Tition Beige</t>
  </si>
  <si>
    <t>CT QTZ AGL 1025</t>
  </si>
  <si>
    <t>Quartz AGL 1025 Silken Titon Bristol</t>
  </si>
  <si>
    <t>CT QTZ AGL 1026</t>
  </si>
  <si>
    <t>Quartz AGL 1026 Silken Titon Brown</t>
  </si>
  <si>
    <t>CT QTZ AGL 1027</t>
  </si>
  <si>
    <t>Quartz AGL 1027 Silken Vanilla</t>
  </si>
  <si>
    <t>CT QTZ AGL 1028</t>
  </si>
  <si>
    <t>Quartz AGL 1028 Silken Wicker</t>
  </si>
  <si>
    <t>CT QTZ AGL 1029</t>
  </si>
  <si>
    <t>Quartz AGL 1029 Silken Winter White</t>
  </si>
  <si>
    <t>CT QTZ AGL 1030</t>
  </si>
  <si>
    <t>Quartz AGL 1030 Spectra Cosmus</t>
  </si>
  <si>
    <t>CT QTZ AGL 1032</t>
  </si>
  <si>
    <t>Quartz AGL 1032 Spectra Royal Dream</t>
  </si>
  <si>
    <t>CT QTZ AGL 1033</t>
  </si>
  <si>
    <t>Quartz AGL 1033 Spectra Venus</t>
  </si>
  <si>
    <t>CT QTZ AGL 1034</t>
  </si>
  <si>
    <t>Quartz AGL 1034 Elegant Cement</t>
  </si>
  <si>
    <t>CT QTZ AGL 1035</t>
  </si>
  <si>
    <t>Quartz AGL 1035 Elegant Emperadore</t>
  </si>
  <si>
    <t>CT QTZ AGL 1036</t>
  </si>
  <si>
    <t>Quartz AGL 1036 Elegant Oasis</t>
  </si>
  <si>
    <t>CT QTZ AGL 1037</t>
  </si>
  <si>
    <t>Quartz AGL 1037 Elegant Shitake</t>
  </si>
  <si>
    <t>CT QTZ AGL 1038</t>
  </si>
  <si>
    <t>Quartz AGL 1038 Emerald Afyon Grey</t>
  </si>
  <si>
    <t>CT QTZ AGL 1040</t>
  </si>
  <si>
    <t>Quartz AGL 1040 Emerald Almond</t>
  </si>
  <si>
    <t>CT QTZ AGL 1041</t>
  </si>
  <si>
    <t>Quartz AGL 1041 Emerald Arctic White</t>
  </si>
  <si>
    <t>CT QTZ AGL 1042</t>
  </si>
  <si>
    <t>Quartz AGL 1042 Emerald Cosmopolitan</t>
  </si>
  <si>
    <t>CT QTZ AGL 1043</t>
  </si>
  <si>
    <t>Quartz AGL 1043 Emerald Indiano</t>
  </si>
  <si>
    <t>CT QTZ AGL 1045</t>
  </si>
  <si>
    <t>Quartz AGL 1045 Emerald Sandal</t>
  </si>
  <si>
    <t>CT QTZ AGL 1048</t>
  </si>
  <si>
    <t>Quartz AGL 1048 Swiss Cloudy Grey</t>
  </si>
  <si>
    <t>CT QTZ AGL 1049</t>
  </si>
  <si>
    <t>Quartz AGL 1049 Swiss Phantom</t>
  </si>
  <si>
    <t>CT QTZ AGL 1050</t>
  </si>
  <si>
    <t>Quartz AGL 1050 Swiss Platinum Black</t>
  </si>
  <si>
    <t>CT QTZ AGL 1051</t>
  </si>
  <si>
    <t>Quartz AGL 1051 Swiss Platinum Grey</t>
  </si>
  <si>
    <t>CT QTZ AGL 1052</t>
  </si>
  <si>
    <t>Quartz AGL 1052 Swiss Satuvario</t>
  </si>
  <si>
    <t>CT QTZ AGL 1053</t>
  </si>
  <si>
    <t>Quartz AGL 1053 Swiss Shadow Grey</t>
  </si>
  <si>
    <t>CT QTZ AGL 1054</t>
  </si>
  <si>
    <t>Quartz AGL 1054 Swiss Shamper White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</si>
  <si>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</si>
  <si>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</si>
  <si>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</si>
  <si>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</si>
  <si>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</si>
  <si>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</si>
  <si>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</si>
  <si>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</si>
  <si>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</si>
  <si>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</si>
  <si>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</si>
  <si>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</si>
  <si>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</si>
  <si>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</si>
  <si>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</si>
  <si>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</si>
  <si>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</si>
  <si>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</si>
  <si>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</si>
  <si>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</si>
  <si>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</si>
  <si>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</si>
  <si>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</si>
  <si>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</si>
  <si>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</si>
  <si>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</si>
  <si>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</si>
  <si>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</si>
  <si>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</si>
  <si>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</si>
  <si>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</si>
  <si>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</si>
  <si>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</si>
  <si>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</si>
  <si>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</si>
  <si>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</si>
  <si>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</si>
  <si>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</si>
  <si>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</si>
  <si>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</si>
  <si>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</si>
  <si>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</si>
  <si>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</si>
  <si>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</si>
  <si>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</si>
  <si>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</si>
  <si>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</si>
  <si>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</si>
  <si>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</si>
  <si>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</si>
  <si>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</si>
  <si>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</si>
  <si>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</si>
  <si>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</si>
  <si>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</si>
  <si>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</si>
  <si>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</si>
  <si>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</si>
  <si>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</si>
  <si>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</si>
  <si>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</si>
  <si>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</si>
  <si>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CT QTZ CON04 GF</t>
  </si>
  <si>
    <t>Quartz Kalinga  Grey Fjordo CONCORD 04</t>
  </si>
  <si>
    <t>Kalinga Stone</t>
  </si>
  <si>
    <t>CT QTZ NRT02 AG</t>
  </si>
  <si>
    <t>Quartz Kalinga Ash Grey NORTH 02</t>
  </si>
  <si>
    <t>CT QTZ NRT02 BT</t>
  </si>
  <si>
    <t>Quartz Kalinga Beige Tuscany NORTH 02</t>
  </si>
  <si>
    <t>CT QTZ AMB05 BM</t>
  </si>
  <si>
    <t>Quartz Kalinga Bermingham AMBIENTE 05</t>
  </si>
  <si>
    <t>CT QTZ SOH03 BCL</t>
  </si>
  <si>
    <t>Quartz Kalinga Bianco Classic SOHO 03</t>
  </si>
  <si>
    <t>CT QTZ CRM01 BC</t>
  </si>
  <si>
    <t>Quartz Kalinga Bianco Cristallo CROMO 01</t>
  </si>
  <si>
    <t>CT QTZ NRT02 BD</t>
  </si>
  <si>
    <t>Quartz Kalinga Bianco Diamante NORTH 02</t>
  </si>
  <si>
    <t>CT QTZ AMB05 BG</t>
  </si>
  <si>
    <t>Quartz Kalinga Bianco Gioa AMBIENTE 05</t>
  </si>
  <si>
    <t>CT QTZ CRM01 BN</t>
  </si>
  <si>
    <t>Quartz Kalinga Bianco Neve CROMO 01</t>
  </si>
  <si>
    <t>CT QTZ SOH03 BS</t>
  </si>
  <si>
    <t>Quartz Kalinga Bianco Superiore SOHO 03</t>
  </si>
  <si>
    <t>CT QTZ CRM01 BD</t>
  </si>
  <si>
    <t>Quartz Kalinga Biege Diamanate CROMO 01</t>
  </si>
  <si>
    <t>CT QTZ SOH03 CH</t>
  </si>
  <si>
    <t>Quartz Kalinga Chandan SOHO 03</t>
  </si>
  <si>
    <t>CT QTZ SOH03 CB</t>
  </si>
  <si>
    <t>Quartz Kalinga Classic Beige SOHO 03</t>
  </si>
  <si>
    <t>CT QTZ SOH03 CO</t>
  </si>
  <si>
    <t>Quartz Kalinga Concrete SOHO 03</t>
  </si>
  <si>
    <t>CT QTZ AMB05 CG</t>
  </si>
  <si>
    <t>Quartz Kalinga Crema Gold AMBIENTE 05</t>
  </si>
  <si>
    <t>CT QTZ CRM01 CS</t>
  </si>
  <si>
    <t>Quartz Kalinga Crema Scuro CROMO 01</t>
  </si>
  <si>
    <t>CT QTZ CON04 CV</t>
  </si>
  <si>
    <t>Quartz Kalinga Crema Venato Extra CONCORD 04</t>
  </si>
  <si>
    <t>CT QTZ NRT02 CV</t>
  </si>
  <si>
    <t>Quartz Kalinga Crema Verona NORTH 02</t>
  </si>
  <si>
    <t>CT QTZ NRT02 DB</t>
  </si>
  <si>
    <t>Quartz Kalinga Desert Brown NORTH 02</t>
  </si>
  <si>
    <t>CT QTZ NRT02 GD</t>
  </si>
  <si>
    <t>Quartz Kalinga Grigio Diamante NORTH 02</t>
  </si>
  <si>
    <t>CT QTZ NRT02 GL</t>
  </si>
  <si>
    <t>Quartz Kalinga Grigio Londra NORTH 02</t>
  </si>
  <si>
    <t>CT QTZ CON04 GV</t>
  </si>
  <si>
    <t>Quartz Kalinga Gris Venato CONCORD 04</t>
  </si>
  <si>
    <t>CT QTZ SOH03 G3C</t>
  </si>
  <si>
    <t>Quartz Kalinga Group 3, Cement SOHO 03</t>
  </si>
  <si>
    <t>CT QTZ NRT02 JD</t>
  </si>
  <si>
    <t>Quartz Kalinga Jerusalem Diamante NORTH 02</t>
  </si>
  <si>
    <t>CT QTZ SOH03 MT</t>
  </si>
  <si>
    <t>Quartz Kalinga Metropolitan SOHO 03</t>
  </si>
  <si>
    <t>CT QTZ SOH03 ML</t>
  </si>
  <si>
    <t>Quartz Kalinga Milano SOHO 03</t>
  </si>
  <si>
    <t>CT QTZ NRT02 MC</t>
  </si>
  <si>
    <t>Quartz Kalinga Mocca Cream NORTH 02</t>
  </si>
  <si>
    <t>CT QTZ NRT02 MD</t>
  </si>
  <si>
    <t>Quartz Kalinga Mocca Diamante NORTH 02</t>
  </si>
  <si>
    <t>CT QTZ SOH03 NC</t>
  </si>
  <si>
    <t>Quartz Kalinga Nero Classic SOHO 03</t>
  </si>
  <si>
    <t>CT QTZ NRT02 ND</t>
  </si>
  <si>
    <t>Quartz Kalinga Nero Diamante NORTH 02</t>
  </si>
  <si>
    <t>CT QTZ AMB05 NE</t>
  </si>
  <si>
    <t>Quartz Kalinga New Extra White AMBIENTE 05</t>
  </si>
  <si>
    <t>CT QTZ AMB05 NS</t>
  </si>
  <si>
    <t>Quartz Kalinga Nisley AMBIENTE 05</t>
  </si>
  <si>
    <t>CT QTZ CON04 NO</t>
  </si>
  <si>
    <t>Quartz Kalinga Noah CONCORD 04</t>
  </si>
  <si>
    <t>CT QTZ SOH03 RP</t>
  </si>
  <si>
    <t>Quartz Kalinga Repen SOHO 03</t>
  </si>
  <si>
    <t>CT QTZ NRT02 SD</t>
  </si>
  <si>
    <t>Quartz Kalinga Sandy Diamante NORTH 02</t>
  </si>
  <si>
    <t>CT QTZ NRT02 SG</t>
  </si>
  <si>
    <t>Quartz Kalinga Silver Grey NORTH 02</t>
  </si>
  <si>
    <t>CT QTZ SOH03 TD</t>
  </si>
  <si>
    <t>Quartz Kalinga Tundra SOHO 03</t>
  </si>
  <si>
    <t>CT QTZ SOH03 US</t>
  </si>
  <si>
    <t>Quartz Kalinga Ush SOHO 03</t>
  </si>
  <si>
    <t>CT QTZ SOH03 VB</t>
  </si>
  <si>
    <t>Quartz Kalinga Vetro Bianco SOHO 03</t>
  </si>
  <si>
    <t>CT QTZ SOH03 WZ</t>
  </si>
  <si>
    <t>Quartz Kalinga Wizzard SOHO 03</t>
  </si>
  <si>
    <t>📋  HRBR EC  —  GRANITE  |  Multi-Round Audit Tracker</t>
  </si>
  <si>
    <t>CT GR 126</t>
  </si>
  <si>
    <t>Granite Emerald Black - CT GR 126</t>
  </si>
  <si>
    <t>Local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</si>
  <si>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</si>
  <si>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</si>
  <si>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</si>
  <si>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</si>
  <si>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</si>
  <si>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</si>
  <si>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</si>
  <si>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</si>
  <si>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</si>
  <si>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</si>
  <si>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</si>
  <si>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</si>
  <si>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</si>
  <si>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</si>
  <si>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</si>
  <si>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</si>
  <si>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</si>
  <si>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</si>
  <si>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</si>
  <si>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</si>
  <si>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</si>
  <si>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</si>
  <si>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📋  HRBR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</si>
  <si>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</si>
  <si>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</si>
  <si>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</si>
  <si>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</si>
  <si>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</si>
  <si>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</si>
  <si>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</si>
  <si>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</si>
  <si>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</si>
  <si>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</si>
  <si>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</si>
  <si>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</si>
  <si>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</si>
  <si>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</si>
  <si>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</si>
  <si>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</si>
  <si>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</si>
  <si>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</si>
  <si>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</si>
  <si>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</si>
  <si>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</si>
  <si>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</si>
  <si>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</si>
  <si>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</si>
  <si>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</si>
  <si>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</si>
  <si>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</si>
  <si>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</si>
  <si>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</si>
  <si>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</si>
  <si>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</si>
  <si>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</si>
  <si>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</si>
  <si>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</si>
  <si>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</si>
  <si>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</si>
  <si>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</si>
  <si>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</si>
  <si>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</si>
  <si>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</si>
  <si>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</si>
  <si>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</si>
  <si>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</si>
  <si>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</si>
  <si>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</si>
  <si>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</si>
  <si>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HRBR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</si>
  <si>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</si>
  <si>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</si>
  <si>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</si>
  <si>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</si>
  <si>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</si>
  <si>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</si>
  <si>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</si>
  <si>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</si>
  <si>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</si>
  <si>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</si>
  <si>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</si>
  <si>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</si>
  <si>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</si>
  <si>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</si>
  <si>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</si>
  <si>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</si>
  <si>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</si>
  <si>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</si>
  <si>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</si>
  <si>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</si>
  <si>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</si>
  <si>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</si>
  <si>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</si>
  <si>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</si>
  <si>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</si>
  <si>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</si>
  <si>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</si>
  <si>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</si>
  <si>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</si>
  <si>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</si>
  <si>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</si>
  <si>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</si>
  <si>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</si>
  <si>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</si>
  <si>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</si>
  <si>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</si>
  <si>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</si>
  <si>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</si>
  <si>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</si>
  <si>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</si>
  <si>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</si>
  <si>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</si>
  <si>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</si>
  <si>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</si>
  <si>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</si>
  <si>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</si>
  <si>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</si>
  <si>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</si>
  <si>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</si>
  <si>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</si>
  <si>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</si>
  <si>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</si>
  <si>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</si>
  <si>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</si>
  <si>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</si>
  <si>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</si>
  <si>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</si>
  <si>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</si>
  <si>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</si>
  <si>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</si>
  <si>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</si>
  <si>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</si>
  <si>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</si>
  <si>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</si>
  <si>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</si>
  <si>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</si>
  <si>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</si>
  <si>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</si>
  <si>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</si>
  <si>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</si>
  <si>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HRBR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</si>
  <si>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</si>
  <si>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</si>
  <si>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</si>
  <si>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</si>
  <si>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</si>
  <si>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</si>
  <si>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</si>
  <si>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</si>
  <si>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</si>
  <si>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</si>
  <si>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</si>
  <si>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</si>
  <si>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</si>
  <si>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</si>
  <si>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</si>
  <si>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</si>
  <si>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</si>
  <si>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</si>
  <si>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</si>
  <si>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</si>
  <si>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</si>
  <si>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</si>
  <si>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</si>
  <si>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</si>
  <si>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</si>
  <si>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</si>
  <si>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</si>
  <si>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</si>
  <si>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</si>
  <si>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</si>
  <si>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</si>
  <si>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</si>
  <si>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</si>
  <si>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</si>
  <si>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</si>
  <si>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</si>
  <si>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</si>
  <si>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</si>
  <si>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</si>
  <si>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</si>
  <si>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</si>
  <si>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</si>
  <si>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</si>
  <si>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</si>
  <si>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</si>
  <si>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</si>
  <si>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</si>
  <si>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</si>
  <si>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</si>
  <si>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</si>
  <si>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</si>
  <si>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</si>
  <si>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</si>
  <si>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</si>
  <si>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</si>
  <si>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</si>
  <si>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</si>
  <si>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</si>
  <si>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</si>
  <si>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</si>
  <si>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</si>
  <si>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</si>
  <si>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</si>
  <si>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</si>
  <si>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</si>
  <si>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</si>
  <si>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</si>
  <si>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</si>
  <si>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</si>
  <si>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</si>
  <si>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</si>
  <si>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</si>
  <si>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</si>
  <si>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</si>
  <si>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</si>
  <si>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</si>
  <si>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</si>
  <si>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</si>
  <si>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</si>
  <si>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</si>
  <si>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</si>
  <si>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</si>
  <si>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</si>
  <si>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</si>
  <si>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</si>
  <si>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</si>
  <si>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</si>
  <si>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</si>
  <si>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</si>
  <si>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</si>
  <si>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</si>
  <si>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</si>
  <si>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</si>
  <si>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</si>
  <si>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</si>
  <si>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</si>
  <si>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</si>
  <si>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</si>
  <si>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</si>
  <si>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</si>
  <si>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</si>
  <si>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</si>
  <si>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</si>
  <si>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</si>
  <si>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</si>
  <si>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</si>
  <si>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</si>
  <si>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</si>
  <si>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</si>
  <si>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</si>
  <si>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</si>
  <si>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</si>
  <si>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</si>
  <si>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</si>
  <si>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</si>
  <si>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</si>
  <si>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</si>
  <si>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</si>
  <si>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</si>
  <si>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</si>
  <si>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</si>
  <si>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</si>
  <si>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</si>
  <si>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</si>
  <si>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</si>
  <si>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</si>
  <si>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</si>
  <si>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</si>
  <si>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</si>
  <si>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</si>
  <si>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</si>
  <si>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</si>
  <si>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</si>
  <si>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</si>
  <si>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</si>
  <si>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</si>
  <si>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</si>
  <si>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</si>
  <si>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</si>
  <si>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</si>
  <si>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</si>
  <si>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</si>
  <si>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</si>
  <si>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</si>
  <si>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</si>
  <si>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</si>
  <si>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</si>
  <si>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</si>
  <si>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</si>
  <si>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</si>
  <si>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</si>
  <si>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</si>
  <si>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HRBR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</si>
  <si>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</si>
  <si>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</si>
  <si>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</si>
  <si>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</si>
  <si>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</si>
  <si>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</si>
  <si>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</si>
  <si>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</si>
  <si>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</si>
  <si>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</si>
  <si>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</si>
  <si>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</si>
  <si>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</si>
  <si>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</si>
  <si>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</si>
  <si>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</si>
  <si>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</si>
  <si>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</si>
  <si>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</si>
  <si>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</si>
  <si>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</si>
  <si>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</si>
  <si>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</si>
  <si>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</si>
  <si>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</si>
  <si>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</si>
  <si>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</si>
  <si>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</si>
  <si>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</si>
  <si>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</si>
  <si>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</si>
  <si>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</si>
  <si>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</si>
  <si>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</si>
  <si>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</si>
  <si>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</si>
  <si>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</si>
  <si>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</si>
  <si>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</si>
  <si>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</si>
  <si>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</si>
  <si>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</si>
  <si>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</si>
  <si>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</si>
  <si>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</si>
  <si>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</si>
  <si>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</si>
  <si>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</si>
  <si>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</si>
  <si>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</si>
  <si>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</si>
  <si>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</si>
  <si>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</si>
  <si>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</si>
  <si>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</si>
  <si>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</si>
  <si>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</si>
  <si>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</si>
  <si>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</si>
  <si>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</si>
  <si>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</si>
  <si>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</si>
  <si>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</si>
  <si>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</si>
  <si>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</si>
  <si>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</si>
  <si>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</si>
  <si>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</si>
  <si>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</si>
  <si>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</si>
  <si>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</si>
  <si>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</si>
  <si>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</si>
  <si>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</si>
  <si>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</si>
  <si>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</si>
  <si>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</si>
  <si>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</si>
  <si>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</si>
  <si>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</si>
  <si>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</si>
  <si>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</si>
  <si>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</si>
  <si>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</si>
  <si>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</si>
  <si>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</si>
  <si>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</si>
  <si>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</si>
  <si>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</si>
  <si>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</si>
  <si>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</si>
  <si>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</si>
  <si>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</si>
  <si>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</si>
  <si>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</si>
  <si>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</si>
  <si>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</si>
  <si>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</si>
  <si>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</si>
  <si>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</si>
  <si>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</si>
  <si>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</si>
  <si>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</si>
  <si>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</si>
  <si>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</si>
  <si>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</si>
  <si>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</si>
  <si>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</si>
  <si>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</si>
  <si>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</si>
  <si>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</si>
  <si>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</si>
  <si>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</si>
  <si>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</si>
  <si>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</si>
  <si>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</si>
  <si>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</si>
  <si>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</si>
  <si>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</si>
  <si>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</si>
  <si>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</si>
  <si>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</si>
  <si>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</si>
  <si>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</si>
  <si>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</si>
  <si>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</si>
  <si>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</si>
  <si>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</si>
  <si>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</si>
  <si>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</si>
  <si>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</si>
  <si>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</si>
  <si>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</si>
  <si>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</si>
  <si>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</si>
  <si>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</si>
  <si>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</si>
  <si>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</si>
  <si>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</si>
  <si>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</si>
  <si>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</si>
  <si>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</si>
  <si>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</si>
  <si>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</si>
  <si>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</si>
  <si>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</si>
  <si>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</si>
  <si>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</si>
  <si>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</si>
  <si>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</si>
  <si>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</si>
  <si>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</si>
  <si>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</si>
  <si>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</si>
  <si>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</si>
  <si>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</si>
  <si>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</si>
  <si>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</si>
  <si>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</si>
  <si>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</si>
  <si>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</si>
  <si>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</si>
  <si>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</si>
  <si>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</si>
  <si>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</si>
  <si>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</si>
  <si>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</si>
  <si>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</si>
  <si>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</si>
  <si>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</si>
  <si>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</si>
  <si>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</si>
  <si>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</si>
  <si>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</si>
  <si>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</si>
  <si>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</si>
  <si>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</si>
  <si>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</si>
  <si>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</si>
  <si>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</si>
  <si>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</si>
  <si>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</si>
  <si>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</si>
  <si>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</si>
  <si>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</si>
  <si>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</si>
  <si>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</si>
  <si>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</si>
  <si>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</si>
  <si>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</si>
  <si>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</si>
  <si>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</si>
  <si>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</si>
  <si>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</si>
  <si>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</si>
  <si>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</si>
  <si>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</si>
  <si>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</si>
  <si>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</si>
  <si>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</si>
  <si>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</si>
  <si>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</si>
  <si>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</si>
  <si>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</si>
  <si>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</si>
  <si>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</si>
  <si>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</si>
  <si>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</si>
  <si>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</si>
  <si>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</si>
  <si>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</si>
  <si>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</si>
  <si>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</si>
  <si>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</si>
  <si>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</si>
  <si>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</si>
  <si>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</si>
  <si>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</si>
  <si>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</si>
  <si>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</si>
  <si>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</si>
  <si>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</si>
  <si>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</si>
  <si>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</si>
  <si>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</si>
  <si>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</si>
  <si>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</si>
  <si>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</si>
  <si>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</si>
  <si>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</si>
  <si>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</si>
  <si>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</si>
  <si>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</si>
  <si>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</si>
  <si>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</si>
  <si>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</si>
  <si>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</si>
  <si>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</si>
  <si>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</si>
  <si>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</si>
  <si>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</si>
  <si>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</si>
  <si>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</si>
  <si>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</si>
  <si>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</si>
  <si>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</si>
  <si>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</si>
  <si>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</si>
  <si>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</si>
  <si>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</si>
  <si>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</si>
  <si>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</si>
  <si>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</si>
  <si>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</si>
  <si>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</si>
  <si>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</si>
  <si>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</si>
  <si>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</si>
  <si>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</si>
  <si>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</si>
  <si>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</si>
  <si>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</si>
  <si>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</si>
  <si>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</si>
  <si>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</si>
  <si>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</si>
  <si>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</si>
  <si>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</si>
  <si>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</si>
  <si>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</si>
  <si>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</si>
  <si>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</si>
  <si>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</si>
  <si>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</si>
  <si>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</si>
  <si>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</si>
  <si>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</si>
  <si>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</si>
  <si>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</si>
  <si>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</si>
  <si>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</si>
  <si>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</si>
  <si>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</si>
  <si>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</si>
  <si>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</si>
  <si>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</si>
  <si>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</si>
  <si>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</si>
  <si>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</si>
  <si>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</si>
  <si>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</si>
  <si>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</si>
  <si>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</si>
  <si>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</si>
  <si>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</si>
  <si>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</si>
  <si>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</si>
  <si>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</si>
  <si>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</si>
  <si>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</si>
  <si>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</si>
  <si>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</si>
  <si>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</si>
  <si>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</si>
  <si>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</si>
  <si>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</si>
  <si>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</si>
  <si>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</si>
  <si>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</si>
  <si>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</si>
  <si>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</si>
  <si>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</si>
  <si>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</si>
  <si>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</si>
  <si>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</si>
  <si>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</si>
  <si>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</si>
  <si>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</si>
  <si>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</si>
  <si>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</si>
  <si>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</si>
  <si>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</si>
  <si>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</si>
  <si>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</si>
  <si>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</si>
  <si>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</si>
  <si>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</si>
  <si>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</si>
  <si>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</si>
  <si>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</si>
  <si>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</si>
  <si>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</si>
  <si>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</si>
  <si>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</si>
  <si>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</si>
  <si>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</si>
  <si>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</si>
  <si>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</si>
  <si>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</si>
  <si>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</si>
  <si>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</si>
  <si>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</si>
  <si>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</si>
  <si>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</si>
  <si>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</si>
  <si>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</si>
  <si>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</si>
  <si>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</si>
  <si>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</si>
  <si>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</si>
  <si>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</si>
  <si>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</si>
  <si>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</si>
  <si>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</si>
  <si>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</si>
  <si>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</si>
  <si>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</si>
  <si>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</si>
  <si>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</si>
  <si>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</si>
  <si>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</si>
  <si>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</si>
  <si>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</si>
  <si>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</si>
  <si>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</si>
  <si>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</si>
  <si>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</si>
  <si>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</si>
  <si>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</si>
  <si>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</si>
  <si>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</si>
  <si>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</si>
  <si>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</si>
  <si>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</si>
  <si>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</si>
  <si>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</si>
  <si>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</si>
  <si>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</si>
  <si>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</si>
  <si>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</si>
  <si>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</si>
  <si>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</si>
  <si>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</si>
  <si>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</si>
  <si>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</si>
  <si>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</si>
  <si>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</si>
  <si>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</si>
  <si>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</si>
  <si>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</si>
  <si>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</si>
  <si>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</si>
  <si>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</si>
  <si>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</si>
  <si>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</si>
  <si>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</si>
  <si>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</si>
  <si>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</si>
  <si>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</si>
  <si>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</si>
  <si>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</si>
  <si>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</si>
  <si>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</si>
  <si>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</si>
  <si>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</si>
  <si>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</si>
  <si>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</si>
  <si>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</si>
  <si>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</si>
  <si>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</si>
  <si>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</si>
  <si>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</si>
  <si>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</si>
  <si>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</si>
  <si>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</si>
  <si>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</si>
  <si>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</si>
  <si>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</si>
  <si>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</si>
  <si>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</si>
  <si>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</si>
  <si>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</si>
  <si>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</si>
  <si>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</si>
  <si>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</si>
  <si>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</si>
  <si>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</si>
  <si>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</si>
  <si>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</si>
  <si>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</si>
  <si>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</si>
  <si>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</si>
  <si>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</si>
  <si>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</si>
  <si>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</si>
  <si>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</si>
  <si>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</si>
  <si>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</si>
  <si>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</si>
  <si>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</si>
  <si>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</si>
  <si>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</si>
  <si>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</si>
  <si>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</si>
  <si>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</si>
  <si>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</si>
  <si>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</si>
  <si>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</si>
  <si>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</si>
  <si>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</si>
  <si>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</si>
  <si>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</si>
  <si>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</si>
  <si>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</si>
  <si>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</si>
  <si>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</si>
  <si>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</si>
  <si>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</si>
  <si>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</si>
  <si>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</si>
  <si>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</si>
  <si>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</si>
  <si>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</si>
  <si>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</si>
  <si>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</si>
  <si>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</si>
  <si>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</si>
  <si>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</si>
  <si>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</si>
  <si>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</si>
  <si>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</si>
  <si>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</si>
  <si>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</si>
  <si>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</si>
  <si>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</si>
  <si>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</si>
  <si>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</si>
  <si>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</si>
  <si>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</si>
  <si>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</si>
  <si>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</si>
  <si>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</si>
  <si>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</si>
  <si>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</si>
  <si>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</si>
  <si>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</si>
  <si>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</si>
  <si>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</si>
  <si>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</si>
  <si>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</si>
  <si>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</si>
  <si>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</si>
  <si>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</si>
  <si>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</si>
  <si>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</si>
  <si>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</si>
  <si>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</si>
  <si>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</si>
  <si>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</si>
  <si>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</si>
  <si>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</si>
  <si>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</si>
  <si>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</si>
  <si>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</si>
  <si>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</si>
  <si>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</si>
  <si>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</si>
  <si>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</si>
  <si>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</si>
  <si>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</si>
  <si>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</si>
  <si>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</si>
  <si>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</si>
  <si>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</si>
  <si>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</si>
  <si>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</si>
  <si>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</si>
  <si>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</si>
  <si>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</si>
  <si>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</si>
  <si>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</si>
  <si>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</si>
  <si>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</si>
  <si>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</si>
  <si>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</si>
  <si>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</si>
  <si>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</si>
  <si>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</si>
  <si>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</si>
  <si>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</si>
  <si>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</si>
  <si>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</si>
  <si>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</si>
  <si>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</si>
  <si>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</si>
  <si>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</si>
  <si>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</si>
  <si>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</si>
  <si>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</si>
  <si>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</si>
  <si>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</si>
  <si>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</si>
  <si>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</si>
  <si>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</si>
  <si>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</si>
  <si>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</si>
  <si>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</si>
  <si>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</si>
  <si>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</si>
  <si>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</si>
  <si>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</si>
  <si>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</si>
  <si>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</si>
  <si>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</si>
  <si>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</si>
  <si>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</si>
  <si>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</si>
  <si>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</si>
  <si>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</si>
  <si>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</si>
  <si>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</si>
  <si>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</si>
  <si>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</si>
  <si>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</si>
  <si>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</si>
  <si>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</si>
  <si>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</si>
  <si>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</si>
  <si>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</si>
  <si>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</si>
  <si>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</si>
  <si>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</si>
  <si>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</si>
  <si>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</si>
  <si>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</si>
  <si>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</si>
  <si>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</si>
  <si>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</si>
  <si>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</si>
  <si>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</si>
  <si>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</si>
  <si>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</si>
  <si>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</si>
  <si>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</si>
  <si>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</si>
  <si>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</si>
  <si>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</si>
  <si>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</si>
  <si>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</si>
  <si>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</si>
  <si>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</si>
  <si>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</si>
  <si>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</si>
  <si>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</si>
  <si>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</si>
  <si>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</si>
  <si>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</si>
  <si>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</si>
  <si>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</si>
  <si>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</si>
  <si>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</si>
  <si>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</si>
  <si>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</si>
  <si>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</si>
  <si>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</si>
  <si>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</si>
  <si>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</si>
  <si>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</si>
  <si>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</si>
  <si>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</si>
  <si>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</si>
  <si>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</si>
  <si>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</si>
  <si>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</si>
  <si>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</si>
  <si>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</si>
  <si>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</si>
  <si>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</si>
  <si>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</si>
  <si>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</si>
  <si>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</si>
  <si>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</si>
  <si>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</si>
  <si>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</si>
  <si>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</si>
  <si>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</si>
  <si>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</si>
  <si>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</si>
  <si>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</si>
  <si>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</si>
  <si>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</si>
  <si>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</si>
  <si>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</si>
  <si>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</si>
  <si>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</si>
  <si>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</si>
  <si>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</si>
  <si>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</si>
  <si>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</si>
  <si>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</si>
  <si>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</si>
  <si>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</si>
  <si>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</si>
  <si>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</si>
  <si>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</si>
  <si>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</si>
  <si>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</si>
  <si>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</si>
  <si>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</si>
  <si>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</si>
  <si>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</si>
  <si>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</si>
  <si>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</si>
  <si>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</si>
  <si>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</si>
  <si>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</si>
  <si>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</si>
  <si>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</si>
  <si>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</si>
  <si>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</si>
  <si>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</si>
  <si>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</si>
  <si>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</si>
  <si>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</si>
  <si>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</si>
  <si>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</si>
  <si>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</si>
  <si>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</si>
  <si>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</si>
  <si>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</si>
  <si>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</si>
  <si>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</si>
  <si>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</si>
  <si>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</si>
  <si>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</si>
  <si>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</si>
  <si>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</si>
  <si>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</si>
  <si>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</si>
  <si>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</si>
  <si>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</si>
  <si>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</si>
  <si>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</si>
  <si>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</si>
  <si>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</si>
  <si>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</si>
  <si>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</si>
  <si>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</si>
  <si>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</si>
  <si>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</si>
  <si>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</si>
  <si>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</si>
  <si>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</si>
  <si>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</si>
  <si>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</si>
  <si>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</si>
  <si>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</si>
  <si>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</si>
  <si>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</si>
  <si>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</si>
  <si>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</si>
  <si>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</si>
  <si>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</si>
  <si>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</si>
  <si>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</si>
  <si>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</si>
  <si>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</si>
  <si>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</si>
  <si>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</si>
  <si>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</si>
  <si>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</si>
  <si>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</si>
  <si>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</si>
  <si>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</si>
  <si>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</si>
  <si>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</si>
  <si>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</si>
  <si>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</si>
  <si>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</si>
  <si>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</si>
  <si>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</si>
  <si>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</si>
  <si>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</si>
  <si>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</si>
  <si>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</si>
  <si>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</si>
  <si>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</si>
  <si>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</si>
  <si>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</si>
  <si>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</si>
  <si>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</si>
  <si>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</si>
  <si>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</si>
  <si>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</si>
  <si>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</si>
  <si>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</si>
  <si>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</si>
  <si>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</si>
  <si>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</si>
  <si>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</si>
  <si>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</si>
  <si>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</si>
  <si>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</si>
  <si>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</si>
  <si>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</si>
  <si>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</si>
  <si>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</si>
  <si>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</si>
  <si>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</si>
  <si>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</si>
  <si>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</si>
  <si>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</si>
  <si>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</si>
  <si>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</si>
  <si>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</si>
  <si>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</si>
  <si>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</si>
  <si>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</si>
  <si>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</si>
  <si>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</si>
  <si>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</si>
  <si>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</si>
  <si>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</si>
  <si>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</si>
  <si>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</si>
  <si>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</si>
  <si>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</si>
  <si>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</si>
  <si>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</si>
  <si>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</si>
  <si>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</si>
  <si>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</si>
  <si>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</si>
  <si>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</si>
  <si>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</si>
  <si>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</si>
  <si>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</si>
  <si>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</si>
  <si>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</si>
  <si>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</si>
  <si>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</si>
  <si>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</si>
  <si>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</si>
  <si>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</si>
  <si>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</si>
  <si>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</si>
  <si>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</si>
  <si>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</si>
  <si>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</si>
  <si>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</si>
  <si>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</si>
  <si>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</si>
  <si>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</si>
  <si>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</si>
  <si>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</si>
  <si>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</si>
  <si>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</si>
  <si>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</si>
  <si>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</si>
  <si>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</si>
  <si>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</si>
  <si>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</si>
  <si>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</si>
  <si>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</si>
  <si>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</si>
  <si>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</si>
  <si>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</si>
  <si>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</si>
  <si>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</si>
  <si>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</si>
  <si>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</si>
  <si>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</si>
  <si>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</si>
  <si>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</si>
  <si>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</si>
  <si>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</si>
  <si>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</si>
  <si>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</si>
  <si>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</si>
  <si>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</si>
  <si>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</si>
  <si>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</si>
  <si>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</si>
  <si>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</si>
  <si>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</si>
  <si>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</si>
  <si>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</si>
  <si>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</si>
  <si>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</si>
  <si>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</si>
  <si>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</si>
  <si>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</si>
  <si>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</si>
  <si>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</si>
  <si>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</si>
  <si>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</si>
  <si>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</si>
  <si>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</si>
  <si>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</si>
  <si>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</si>
  <si>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</si>
  <si>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</si>
  <si>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</si>
  <si>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</si>
  <si>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</si>
  <si>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</si>
  <si>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</si>
  <si>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</si>
  <si>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</si>
  <si>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</si>
  <si>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</si>
  <si>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</si>
  <si>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</si>
  <si>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</si>
  <si>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</si>
  <si>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</si>
  <si>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</si>
  <si>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</si>
  <si>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</si>
  <si>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</si>
  <si>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</si>
  <si>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</si>
  <si>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</si>
  <si>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</si>
  <si>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</si>
  <si>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</si>
  <si>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</si>
  <si>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</si>
  <si>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</si>
  <si>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</si>
  <si>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</si>
  <si>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</si>
  <si>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</si>
  <si>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</si>
  <si>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</si>
  <si>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</si>
  <si>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</si>
  <si>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</si>
  <si>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</si>
  <si>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</si>
  <si>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</si>
  <si>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</si>
  <si>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</si>
  <si>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</si>
  <si>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</si>
  <si>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</si>
  <si>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</si>
  <si>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</si>
  <si>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</si>
  <si>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</si>
  <si>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</si>
  <si>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</si>
  <si>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</si>
  <si>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</si>
  <si>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</si>
  <si>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</si>
  <si>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</si>
  <si>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</si>
  <si>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</si>
  <si>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</si>
  <si>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</si>
  <si>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</si>
  <si>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</si>
  <si>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</si>
  <si>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</si>
  <si>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</si>
  <si>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</si>
  <si>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</si>
  <si>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</si>
  <si>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</si>
  <si>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</si>
  <si>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</si>
  <si>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</si>
  <si>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</si>
  <si>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</si>
  <si>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</si>
  <si>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</si>
  <si>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</si>
  <si>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</si>
  <si>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</si>
  <si>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</si>
  <si>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</si>
  <si>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</si>
  <si>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</si>
  <si>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</si>
  <si>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</si>
  <si>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</si>
  <si>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</si>
  <si>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</si>
  <si>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</si>
  <si>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</si>
  <si>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</si>
  <si>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</si>
  <si>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</si>
  <si>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</si>
  <si>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</si>
  <si>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</si>
  <si>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</si>
  <si>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</si>
  <si>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</si>
  <si>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</si>
  <si>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</si>
  <si>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</si>
  <si>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</si>
  <si>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</si>
  <si>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</si>
  <si>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</si>
  <si>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</si>
  <si>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</si>
  <si>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</si>
  <si>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</si>
  <si>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</si>
  <si>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</si>
  <si>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</si>
  <si>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</si>
  <si>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</si>
  <si>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</si>
  <si>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</si>
  <si>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</si>
  <si>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</si>
  <si>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</si>
  <si>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</si>
  <si>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</si>
  <si>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</si>
  <si>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</si>
  <si>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</si>
  <si>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</si>
  <si>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</si>
  <si>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</si>
  <si>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</si>
  <si>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</si>
  <si>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</si>
  <si>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</si>
  <si>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</si>
  <si>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</si>
  <si>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</si>
  <si>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</si>
  <si>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</si>
  <si>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</si>
  <si>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</si>
  <si>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</si>
  <si>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</si>
  <si>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</si>
  <si>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</si>
  <si>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</si>
  <si>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</si>
  <si>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</si>
  <si>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</si>
  <si>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</si>
  <si>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</si>
  <si>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</si>
  <si>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</si>
  <si>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</si>
  <si>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</si>
  <si>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</si>
  <si>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</si>
  <si>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</si>
  <si>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</si>
  <si>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</si>
  <si>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</si>
  <si>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</si>
  <si>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</si>
  <si>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</si>
  <si>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</si>
  <si>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</si>
  <si>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</si>
  <si>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</si>
  <si>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</si>
  <si>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</si>
  <si>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</si>
  <si>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</si>
  <si>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</si>
  <si>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</si>
  <si>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</si>
  <si>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</si>
  <si>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</si>
  <si>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</si>
  <si>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</si>
  <si>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</si>
  <si>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</si>
  <si>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</si>
  <si>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</si>
  <si>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</si>
  <si>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</si>
  <si>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</si>
  <si>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</si>
  <si>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</si>
  <si>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</si>
  <si>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HRBR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</si>
  <si>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</si>
  <si>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</si>
  <si>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</si>
  <si>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</si>
  <si>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</si>
  <si>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</si>
  <si>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</si>
  <si>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</si>
  <si>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</si>
  <si>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</si>
  <si>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</si>
  <si>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</si>
  <si>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</si>
  <si>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</si>
  <si>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</si>
  <si>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</si>
  <si>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</si>
  <si>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</si>
  <si>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</si>
  <si>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</si>
  <si>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</si>
  <si>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</si>
  <si>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</si>
  <si>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</si>
  <si>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</si>
  <si>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</si>
  <si>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</si>
  <si>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</si>
  <si>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</si>
  <si>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</si>
  <si>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</si>
  <si>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</si>
  <si>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</si>
  <si>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</si>
  <si>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</si>
  <si>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</si>
  <si>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</si>
  <si>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</si>
  <si>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</si>
  <si>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</si>
  <si>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</si>
  <si>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</si>
  <si>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</si>
  <si>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</si>
  <si>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</si>
  <si>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</si>
  <si>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</si>
  <si>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</si>
  <si>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</si>
  <si>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</si>
  <si>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</si>
  <si>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</si>
  <si>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</si>
  <si>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</si>
  <si>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</si>
  <si>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</si>
  <si>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</si>
  <si>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</si>
  <si>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</si>
  <si>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</si>
  <si>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</si>
  <si>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</si>
  <si>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</si>
  <si>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</si>
  <si>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</si>
  <si>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</si>
  <si>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</si>
  <si>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</si>
  <si>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</si>
  <si>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</si>
  <si>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</si>
  <si>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</si>
  <si>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</si>
  <si>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</si>
  <si>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</si>
  <si>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</si>
  <si>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</si>
  <si>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</si>
  <si>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</si>
  <si>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</si>
  <si>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</si>
  <si>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</si>
  <si>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</si>
  <si>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</si>
  <si>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</si>
  <si>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</si>
  <si>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</si>
  <si>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</si>
  <si>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</si>
  <si>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</si>
  <si>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</si>
  <si>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</si>
  <si>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</si>
  <si>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</si>
  <si>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</si>
  <si>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</si>
  <si>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</si>
  <si>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</si>
  <si>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</si>
  <si>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</si>
  <si>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</si>
  <si>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</si>
  <si>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</si>
  <si>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</si>
  <si>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</si>
  <si>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</si>
  <si>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</si>
  <si>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</si>
  <si>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</si>
  <si>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</si>
  <si>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</si>
  <si>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</si>
  <si>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</si>
  <si>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</si>
  <si>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</si>
  <si>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</si>
  <si>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</si>
  <si>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</si>
  <si>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</si>
  <si>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</si>
  <si>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</si>
  <si>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</si>
  <si>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</si>
  <si>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</si>
  <si>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</si>
  <si>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</si>
  <si>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</si>
  <si>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</si>
  <si>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</si>
  <si>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</si>
  <si>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</si>
  <si>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</si>
  <si>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</si>
  <si>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</si>
  <si>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</si>
  <si>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</si>
  <si>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</si>
  <si>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</si>
  <si>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</si>
  <si>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</si>
  <si>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</si>
  <si>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</si>
  <si>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</si>
  <si>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</si>
  <si>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</si>
  <si>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</si>
  <si>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</si>
  <si>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</si>
  <si>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</si>
  <si>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</si>
  <si>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</si>
  <si>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</si>
  <si>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</si>
  <si>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</si>
  <si>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</si>
  <si>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</si>
  <si>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</si>
  <si>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</si>
  <si>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</si>
  <si>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</si>
  <si>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</si>
  <si>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</si>
  <si>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</si>
  <si>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</si>
  <si>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</si>
  <si>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</si>
  <si>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</si>
  <si>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</si>
  <si>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</si>
  <si>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</si>
  <si>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</si>
  <si>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</si>
  <si>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</si>
  <si>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</si>
  <si>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</si>
  <si>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</si>
  <si>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</si>
  <si>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</si>
  <si>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</si>
  <si>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</si>
  <si>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</si>
  <si>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</si>
  <si>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</si>
  <si>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</si>
  <si>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</si>
  <si>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</si>
  <si>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</si>
  <si>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</si>
  <si>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</si>
  <si>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</si>
  <si>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</si>
  <si>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</si>
  <si>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</si>
  <si>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</si>
  <si>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</si>
  <si>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</si>
  <si>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</si>
  <si>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</si>
  <si>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</si>
  <si>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</si>
  <si>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</si>
  <si>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</si>
  <si>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</si>
  <si>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</si>
  <si>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</si>
  <si>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</si>
  <si>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</si>
  <si>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</si>
  <si>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</si>
  <si>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</si>
  <si>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</si>
  <si>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</si>
  <si>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</si>
  <si>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</si>
  <si>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</si>
  <si>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</si>
  <si>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</si>
  <si>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</si>
  <si>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</si>
  <si>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</si>
  <si>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</si>
  <si>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</si>
  <si>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</si>
  <si>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</si>
  <si>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</si>
  <si>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</si>
  <si>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</si>
  <si>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</si>
  <si>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</si>
  <si>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</si>
  <si>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</si>
  <si>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</si>
  <si>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</si>
  <si>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</si>
  <si>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</si>
  <si>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</si>
  <si>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</si>
  <si>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</si>
  <si>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</si>
  <si>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</si>
  <si>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</si>
  <si>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</si>
  <si>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</si>
  <si>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</si>
  <si>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</si>
  <si>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</si>
  <si>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</si>
  <si>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</si>
  <si>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</si>
  <si>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</si>
  <si>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</si>
  <si>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</si>
  <si>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</si>
  <si>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</si>
  <si>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</si>
  <si>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</si>
  <si>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</si>
  <si>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</si>
  <si>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</si>
  <si>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</si>
  <si>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</si>
  <si>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</si>
  <si>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</si>
  <si>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</si>
  <si>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</si>
  <si>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</si>
  <si>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</si>
  <si>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</si>
  <si>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</si>
  <si>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</si>
  <si>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</si>
  <si>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</si>
  <si>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</si>
  <si>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</si>
  <si>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</si>
  <si>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</si>
  <si>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</si>
  <si>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</si>
  <si>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</si>
  <si>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</si>
  <si>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</si>
  <si>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</si>
  <si>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</si>
  <si>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</si>
  <si>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</si>
  <si>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</si>
  <si>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</si>
  <si>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</si>
  <si>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</si>
  <si>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</si>
  <si>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</si>
  <si>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</si>
  <si>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</si>
  <si>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</si>
  <si>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</si>
  <si>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</si>
  <si>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</si>
  <si>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</si>
  <si>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</si>
  <si>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</si>
  <si>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</si>
  <si>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</si>
  <si>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</si>
  <si>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</si>
  <si>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</si>
  <si>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</si>
  <si>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</si>
  <si>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</si>
  <si>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</si>
  <si>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</si>
  <si>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</si>
  <si>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</si>
  <si>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</si>
  <si>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</si>
  <si>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</si>
  <si>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</si>
  <si>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</si>
  <si>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</si>
  <si>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</si>
  <si>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</si>
  <si>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</si>
  <si>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</si>
  <si>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</si>
  <si>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</si>
  <si>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</si>
  <si>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</si>
  <si>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</si>
  <si>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</si>
  <si>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</si>
  <si>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</si>
  <si>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</si>
  <si>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</si>
  <si>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</si>
  <si>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</si>
  <si>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</si>
  <si>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</si>
  <si>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</si>
  <si>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</si>
  <si>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</si>
  <si>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</si>
  <si>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</si>
  <si>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</si>
  <si>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</si>
  <si>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</si>
  <si>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</si>
  <si>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</si>
  <si>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</si>
  <si>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</si>
  <si>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</si>
  <si>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</si>
  <si>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</si>
  <si>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</si>
  <si>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</si>
  <si>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</si>
  <si>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</si>
  <si>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</si>
  <si>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</si>
  <si>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</si>
  <si>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</si>
  <si>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</si>
  <si>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</si>
  <si>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</si>
  <si>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</si>
  <si>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</si>
  <si>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</si>
  <si>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</si>
  <si>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</si>
  <si>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</si>
  <si>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</si>
  <si>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</si>
  <si>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</si>
  <si>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</si>
  <si>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</si>
  <si>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</si>
  <si>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</si>
  <si>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</si>
  <si>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</si>
  <si>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</si>
  <si>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</si>
  <si>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</si>
  <si>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</si>
  <si>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</si>
  <si>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</si>
  <si>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</si>
  <si>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</si>
  <si>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</si>
  <si>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</si>
  <si>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</si>
  <si>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</si>
  <si>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</si>
  <si>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</si>
  <si>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</si>
  <si>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</si>
  <si>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</si>
  <si>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</si>
  <si>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</si>
  <si>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</si>
  <si>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</si>
  <si>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</si>
  <si>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</si>
  <si>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</si>
  <si>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</si>
  <si>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</si>
  <si>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</si>
  <si>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</si>
  <si>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</si>
  <si>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</si>
  <si>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</si>
  <si>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</si>
  <si>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</si>
  <si>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</si>
  <si>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</si>
  <si>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</si>
  <si>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</si>
  <si>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</si>
  <si>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</si>
  <si>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</si>
  <si>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</si>
  <si>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</si>
  <si>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</si>
  <si>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</si>
  <si>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</si>
  <si>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</si>
  <si>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</si>
  <si>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</si>
  <si>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</si>
  <si>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</si>
  <si>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</si>
  <si>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</si>
  <si>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</si>
  <si>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</si>
  <si>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</si>
  <si>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</si>
  <si>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</si>
  <si>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</si>
  <si>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</si>
  <si>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</si>
  <si>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</si>
  <si>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</si>
  <si>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</si>
  <si>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</si>
  <si>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</si>
  <si>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</si>
  <si>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</si>
  <si>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</si>
  <si>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</si>
  <si>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</si>
  <si>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</si>
  <si>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</si>
  <si>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</si>
  <si>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</si>
  <si>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</si>
  <si>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</si>
  <si>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</si>
  <si>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</si>
  <si>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</si>
  <si>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</si>
  <si>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</si>
  <si>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</si>
  <si>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</si>
  <si>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</si>
  <si>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</si>
  <si>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</si>
  <si>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</si>
  <si>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</si>
  <si>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</si>
  <si>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</si>
  <si>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</si>
  <si>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</si>
  <si>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</si>
  <si>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</si>
  <si>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</si>
  <si>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</si>
  <si>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</si>
  <si>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</si>
  <si>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</si>
  <si>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</si>
  <si>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</si>
  <si>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</si>
  <si>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</si>
  <si>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</si>
  <si>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</si>
  <si>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</si>
  <si>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</si>
  <si>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</si>
  <si>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</si>
  <si>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</si>
  <si>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</si>
  <si>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</si>
  <si>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</si>
  <si>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</si>
  <si>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</si>
  <si>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</si>
  <si>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</si>
  <si>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</si>
  <si>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</si>
  <si>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</si>
  <si>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</si>
  <si>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</si>
  <si>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</si>
  <si>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</si>
  <si>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</si>
  <si>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</si>
  <si>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</si>
  <si>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</si>
  <si>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</si>
  <si>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</si>
  <si>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</si>
  <si>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</si>
  <si>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</si>
  <si>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</si>
  <si>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</si>
  <si>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</si>
  <si>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</si>
  <si>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</si>
  <si>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</si>
  <si>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</si>
  <si>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</si>
  <si>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</si>
  <si>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</si>
  <si>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</si>
  <si>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</si>
  <si>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</si>
  <si>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</si>
  <si>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</si>
  <si>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</si>
  <si>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</si>
  <si>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</si>
  <si>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</si>
  <si>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</si>
  <si>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</si>
  <si>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</si>
  <si>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</si>
  <si>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</si>
  <si>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</si>
  <si>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</si>
  <si>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</si>
  <si>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</si>
  <si>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</si>
  <si>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</si>
  <si>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</si>
  <si>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</si>
  <si>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</si>
  <si>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</si>
  <si>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</si>
  <si>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</si>
  <si>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</si>
  <si>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</si>
  <si>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</si>
  <si>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</si>
  <si>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</si>
  <si>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</si>
  <si>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</si>
  <si>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</si>
  <si>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</si>
  <si>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</si>
  <si>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</si>
  <si>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</si>
  <si>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</si>
  <si>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</si>
  <si>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</si>
  <si>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</si>
  <si>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</si>
  <si>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</si>
  <si>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</si>
  <si>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</si>
  <si>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</si>
  <si>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</si>
  <si>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</si>
  <si>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</si>
  <si>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</si>
  <si>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</si>
  <si>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</si>
  <si>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</si>
  <si>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</si>
  <si>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</si>
  <si>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</si>
  <si>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</si>
  <si>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</si>
  <si>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Sunil CR</t>
  </si>
  <si>
    <t>No</t>
  </si>
  <si>
    <t>Yes</t>
  </si>
  <si>
    <t>Good finish</t>
  </si>
  <si>
    <t>Minor defect</t>
  </si>
  <si>
    <t>Sticker is missing</t>
  </si>
  <si>
    <t>Not Available</t>
  </si>
  <si>
    <t>Available in small book</t>
  </si>
  <si>
    <t>Categorization sticker is missing</t>
  </si>
  <si>
    <t>Name Sticker to be Changed</t>
  </si>
  <si>
    <t>Represented by Sample</t>
  </si>
  <si>
    <t>Sticker not proper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</si>
</sst>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833C0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833C00"/>
      <name val="Arial"/>
      <family val="2"/>
    </font>
    <font>
      <sz val="9"/>
      <color rgb="FF000000"/>
      <name val="Arial"/>
      <family val="2"/>
    </font>
    <font>
      <sz val="9"/>
      <color rgb="FF833C00"/>
      <name val="Arial"/>
      <family val="2"/>
    </font>
    <font>
      <sz val="9"/>
      <name val="Arial"/>
      <family val="2"/>
    </font>
    <font>
      <sz val="8"/>
      <color rgb="FF833C00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833C00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558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33C0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4" sqref="C14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58" t="s">
        <v>0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</row>
    <row r="2" spans="2:22" ht="15" customHeight="1" x14ac:dyDescent="0.3">
      <c r="B2" s="63" t="s">
        <v>1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</row>
    <row r="3" spans="2:22" ht="7.95" customHeight="1" x14ac:dyDescent="0.3"/>
    <row r="4" spans="2:22" ht="18" customHeight="1" x14ac:dyDescent="0.3">
      <c r="B4" s="1"/>
      <c r="C4" s="65" t="s">
        <v>2</v>
      </c>
      <c r="D4" s="49"/>
      <c r="E4" s="49"/>
      <c r="F4" s="49"/>
      <c r="G4" s="60" t="s">
        <v>3</v>
      </c>
      <c r="H4" s="49"/>
      <c r="I4" s="49"/>
      <c r="J4" s="49"/>
      <c r="K4" s="61" t="s">
        <v>4</v>
      </c>
      <c r="L4" s="49"/>
      <c r="M4" s="49"/>
      <c r="N4" s="49"/>
      <c r="O4" s="62" t="s">
        <v>5</v>
      </c>
      <c r="P4" s="49"/>
      <c r="Q4" s="49"/>
      <c r="R4" s="49"/>
      <c r="S4" s="64" t="s">
        <v>6</v>
      </c>
      <c r="T4" s="49"/>
      <c r="U4" s="49"/>
      <c r="V4" s="49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COUNTIF(Laminates!M5:M296,"✓ OK")</f>
        <v>256</v>
      </c>
      <c r="E6" s="9">
        <f>COUNTIF(Laminates!M5:M296,"⚠ Check")+COUNTIF(Laminates!M5:M296,"⚠ Missing")+COUNTIF(Laminates!M5:M296,"❌ Disc")</f>
        <v>28</v>
      </c>
      <c r="F6" s="10">
        <f>IFERROR(COUNTIF(Laminates!E5:E296,"&lt;&gt;"&amp;"")/292,"—")</f>
        <v>0.9726027397260274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IFERROR(COUNTIF(Laminates!N5:N296,"&lt;&gt;"&amp;"")/292,"—")</f>
        <v>0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IFERROR(COUNTIF(Laminates!W5:W296,"&lt;&gt;"&amp;"")/292,"—")</f>
        <v>0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63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55</v>
      </c>
      <c r="E8" s="9">
        <f>COUNTIF('PU and Membrane'!M5:M85,"⚠ Check")+COUNTIF('PU and Membrane'!M5:M85,"⚠ Missing")+COUNTIF('PU and Membrane'!M5:M85,"❌ Disc")</f>
        <v>0</v>
      </c>
      <c r="F8" s="10">
        <f>IFERROR(COUNTIF('PU and Membrane'!E5:E85,"&lt;&gt;"&amp;"")/81,"—")</f>
        <v>0.67901234567901236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0</v>
      </c>
      <c r="E9" s="20">
        <f>COUNTIF(Rafters!M5:M168,"⚠ Check")+COUNTIF(Rafters!M5:M168,"⚠ Missing")+COUNTIF(Rafters!M5:M168,"❌ Disc")</f>
        <v>0</v>
      </c>
      <c r="F9" s="21">
        <f>IFERROR(COUNTIF(Rafters!E5:E168,"&lt;&gt;"&amp;"")/164,"—")</f>
        <v>0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816</v>
      </c>
      <c r="E10" s="9">
        <f>COUNTIF(Wallpaper!M5:M1413,"⚠ Check")+COUNTIF(Wallpaper!M5:M1413,"⚠ Missing")+COUNTIF(Wallpaper!M5:M1413,"❌ Disc")</f>
        <v>3</v>
      </c>
      <c r="F10" s="10">
        <f>IFERROR(COUNTIF(Wallpaper!E5:E1413,"&lt;&gt;"&amp;"")/1409,"—")</f>
        <v>0.58126330731014908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113</v>
      </c>
      <c r="D11" s="20">
        <f>COUNTIF(Quartz!M5:M117,"✓ OK")</f>
        <v>0</v>
      </c>
      <c r="E11" s="20">
        <f>COUNTIF(Quartz!M5:M117,"⚠ Check")+COUNTIF(Quartz!M5:M117,"⚠ Missing")+COUNTIF(Quartz!M5:M117,"❌ Disc")</f>
        <v>0</v>
      </c>
      <c r="F11" s="21">
        <f>IFERROR(COUNTIF(Quartz!E5:E117,"&lt;&gt;"&amp;"")/113,"—")</f>
        <v>0</v>
      </c>
      <c r="G11" s="20">
        <v>113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113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12</v>
      </c>
      <c r="D12" s="9">
        <f>COUNTIF(Granite!M5:M16,"✓ OK")</f>
        <v>10</v>
      </c>
      <c r="E12" s="9">
        <f>COUNTIF(Granite!M5:M16,"⚠ Check")+COUNTIF(Granite!M5:M16,"⚠ Missing")+COUNTIF(Granite!M5:M16,"❌ Disc")</f>
        <v>2</v>
      </c>
      <c r="F12" s="10">
        <f>IFERROR(COUNTIF(Granite!E5:E16,"&lt;&gt;"&amp;"")/12,"—")</f>
        <v>1</v>
      </c>
      <c r="G12" s="11">
        <v>12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12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17</v>
      </c>
      <c r="E13" s="20">
        <f>COUNTIF('Wooden Flooring'!M5:M26,"⚠ Check")+COUNTIF('Wooden Flooring'!M5:M26,"⚠ Missing")+COUNTIF('Wooden Flooring'!M5:M26,"❌ Disc")</f>
        <v>5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0</v>
      </c>
      <c r="I17" s="20">
        <f>COUNTIF(Fabric!V5:V292,"⚠ Check")+COUNTIF(Fabric!V5:V292,"⚠ Missing")+COUNTIF(Fabric!V5:V292,"❌ Disc")</f>
        <v>0</v>
      </c>
      <c r="J17" s="21">
        <f>IFERROR(COUNTIF(Fabric!N5:N292,"&lt;&gt;"&amp;"")/486,"—")</f>
        <v>0</v>
      </c>
      <c r="K17" s="20">
        <v>288</v>
      </c>
      <c r="L17" s="20">
        <f>COUNTIF(Fabric!AE5:AE292,"✓ OK")</f>
        <v>0</v>
      </c>
      <c r="M17" s="20">
        <f>COUNTIF(Fabric!AE5:AE292,"⚠ Check")+COUNTIF(Fabric!AE5:AE292,"⚠ Missing")+COUNTIF(Fabric!AE5:AE292,"❌ Disc")</f>
        <v>0</v>
      </c>
      <c r="N17" s="21">
        <f>IFERROR(COUNTIF(Fabric!W5:W292,"&lt;&gt;"&amp;"")/486,"—")</f>
        <v>0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57" t="s">
        <v>24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</row>
    <row r="20" spans="2:22" hidden="1" x14ac:dyDescent="0.3">
      <c r="B20" s="61" t="s">
        <v>25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</row>
    <row r="21" spans="2:22" ht="16.2" hidden="1" customHeight="1" x14ac:dyDescent="0.3">
      <c r="B21" s="59" t="s">
        <v>26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</row>
    <row r="22" spans="2:22" ht="16.2" hidden="1" customHeight="1" x14ac:dyDescent="0.3">
      <c r="B22" s="56" t="s">
        <v>27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</row>
    <row r="23" spans="2:22" ht="16.2" hidden="1" customHeight="1" x14ac:dyDescent="0.3">
      <c r="B23" s="59" t="s">
        <v>28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</row>
    <row r="24" spans="2:22" ht="16.2" hidden="1" customHeight="1" x14ac:dyDescent="0.3">
      <c r="B24" s="56" t="s">
        <v>29</v>
      </c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</row>
    <row r="25" spans="2:22" ht="16.2" hidden="1" customHeight="1" x14ac:dyDescent="0.3">
      <c r="B25" s="59" t="s">
        <v>30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</row>
    <row r="26" spans="2:22" ht="16.2" hidden="1" customHeight="1" x14ac:dyDescent="0.3">
      <c r="B26" s="56" t="s">
        <v>31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tabSelected="1" workbookViewId="0">
      <pane xSplit="4" ySplit="4" topLeftCell="E57" activePane="bottomRight" state="frozen"/>
      <selection pane="topRight" sqref="A1:AW1"/>
      <selection pane="bottomLeft" sqref="A1:AW1"/>
      <selection pane="bottomRight" activeCell="G58" sqref="G5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32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55</v>
      </c>
      <c r="C6" s="44" t="s">
        <v>56</v>
      </c>
      <c r="D6" s="42" t="s">
        <v>54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57</v>
      </c>
      <c r="C7" s="25" t="s">
        <v>58</v>
      </c>
      <c r="D7" s="23" t="s">
        <v>54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59</v>
      </c>
      <c r="C8" s="44" t="s">
        <v>60</v>
      </c>
      <c r="D8" s="42" t="s">
        <v>54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61</v>
      </c>
      <c r="C9" s="25" t="s">
        <v>62</v>
      </c>
      <c r="D9" s="23" t="s">
        <v>54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63</v>
      </c>
      <c r="C10" s="44" t="s">
        <v>64</v>
      </c>
      <c r="D10" s="42" t="s">
        <v>65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66</v>
      </c>
      <c r="C11" s="25" t="s">
        <v>67</v>
      </c>
      <c r="D11" s="23" t="s">
        <v>65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68</v>
      </c>
      <c r="C12" s="44" t="s">
        <v>69</v>
      </c>
      <c r="D12" s="42" t="s">
        <v>65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70</v>
      </c>
      <c r="C13" s="25" t="s">
        <v>71</v>
      </c>
      <c r="D13" s="23" t="s">
        <v>65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72</v>
      </c>
      <c r="C14" s="44" t="s">
        <v>73</v>
      </c>
      <c r="D14" s="42" t="s">
        <v>65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74</v>
      </c>
      <c r="C15" s="25" t="s">
        <v>75</v>
      </c>
      <c r="D15" s="23" t="s">
        <v>65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76</v>
      </c>
      <c r="C16" s="44" t="s">
        <v>77</v>
      </c>
      <c r="D16" s="42" t="s">
        <v>65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78</v>
      </c>
      <c r="C17" s="25" t="s">
        <v>79</v>
      </c>
      <c r="D17" s="23" t="s">
        <v>65</v>
      </c>
      <c r="E17" s="46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80</v>
      </c>
      <c r="C18" s="44" t="s">
        <v>81</v>
      </c>
      <c r="D18" s="42" t="s">
        <v>65</v>
      </c>
      <c r="E18" s="46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82</v>
      </c>
      <c r="C19" s="25" t="s">
        <v>83</v>
      </c>
      <c r="D19" s="23" t="s">
        <v>65</v>
      </c>
      <c r="E19" s="46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84</v>
      </c>
      <c r="C20" s="44" t="s">
        <v>85</v>
      </c>
      <c r="D20" s="42" t="s">
        <v>65</v>
      </c>
      <c r="E20" s="46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86</v>
      </c>
      <c r="C21" s="25" t="s">
        <v>87</v>
      </c>
      <c r="D21" s="23" t="s">
        <v>65</v>
      </c>
      <c r="E21" s="46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88</v>
      </c>
      <c r="C22" s="44" t="s">
        <v>89</v>
      </c>
      <c r="D22" s="42" t="s">
        <v>65</v>
      </c>
      <c r="E22" s="46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90</v>
      </c>
      <c r="C23" s="25" t="s">
        <v>91</v>
      </c>
      <c r="D23" s="23" t="s">
        <v>65</v>
      </c>
      <c r="E23" s="46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92</v>
      </c>
      <c r="C24" s="44" t="s">
        <v>93</v>
      </c>
      <c r="D24" s="42" t="s">
        <v>65</v>
      </c>
      <c r="E24" s="46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94</v>
      </c>
      <c r="C25" s="25" t="s">
        <v>95</v>
      </c>
      <c r="D25" s="23" t="s">
        <v>65</v>
      </c>
      <c r="E25" s="46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96</v>
      </c>
      <c r="C26" s="44" t="s">
        <v>97</v>
      </c>
      <c r="D26" s="42" t="s">
        <v>65</v>
      </c>
      <c r="E26" s="46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98</v>
      </c>
      <c r="C27" s="25" t="s">
        <v>99</v>
      </c>
      <c r="D27" s="23" t="s">
        <v>65</v>
      </c>
      <c r="E27" s="46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100</v>
      </c>
      <c r="C28" s="44" t="s">
        <v>101</v>
      </c>
      <c r="D28" s="42" t="s">
        <v>65</v>
      </c>
      <c r="E28" s="46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102</v>
      </c>
      <c r="C29" s="25" t="s">
        <v>103</v>
      </c>
      <c r="D29" s="23" t="s">
        <v>65</v>
      </c>
      <c r="E29" s="46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104</v>
      </c>
      <c r="C30" s="44" t="s">
        <v>105</v>
      </c>
      <c r="D30" s="42" t="s">
        <v>65</v>
      </c>
      <c r="E30" s="46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106</v>
      </c>
      <c r="C31" s="25" t="s">
        <v>107</v>
      </c>
      <c r="D31" s="23" t="s">
        <v>65</v>
      </c>
      <c r="E31" s="46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108</v>
      </c>
      <c r="C32" s="44" t="s">
        <v>109</v>
      </c>
      <c r="D32" s="42" t="s">
        <v>65</v>
      </c>
      <c r="E32" s="46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110</v>
      </c>
      <c r="C33" s="25" t="s">
        <v>111</v>
      </c>
      <c r="D33" s="23" t="s">
        <v>65</v>
      </c>
      <c r="E33" s="46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112</v>
      </c>
      <c r="C34" s="44" t="s">
        <v>113</v>
      </c>
      <c r="D34" s="42" t="s">
        <v>65</v>
      </c>
      <c r="E34" s="46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114</v>
      </c>
      <c r="C35" s="25" t="s">
        <v>115</v>
      </c>
      <c r="D35" s="23" t="s">
        <v>65</v>
      </c>
      <c r="E35" s="46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116</v>
      </c>
      <c r="C36" s="44" t="s">
        <v>117</v>
      </c>
      <c r="D36" s="42" t="s">
        <v>65</v>
      </c>
      <c r="E36" s="46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118</v>
      </c>
      <c r="C37" s="25" t="s">
        <v>119</v>
      </c>
      <c r="D37" s="23" t="s">
        <v>65</v>
      </c>
      <c r="E37" s="46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120</v>
      </c>
      <c r="C38" s="44" t="s">
        <v>121</v>
      </c>
      <c r="D38" s="42" t="s">
        <v>65</v>
      </c>
      <c r="E38" s="46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122</v>
      </c>
      <c r="C39" s="25" t="s">
        <v>123</v>
      </c>
      <c r="D39" s="23" t="s">
        <v>65</v>
      </c>
      <c r="E39" s="46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124</v>
      </c>
      <c r="C40" s="44" t="s">
        <v>125</v>
      </c>
      <c r="D40" s="42" t="s">
        <v>65</v>
      </c>
      <c r="E40" s="46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126</v>
      </c>
      <c r="C41" s="25" t="s">
        <v>127</v>
      </c>
      <c r="D41" s="23" t="s">
        <v>65</v>
      </c>
      <c r="E41" s="46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128</v>
      </c>
      <c r="C42" s="44" t="s">
        <v>129</v>
      </c>
      <c r="D42" s="42" t="s">
        <v>65</v>
      </c>
      <c r="E42" s="46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130</v>
      </c>
      <c r="C43" s="25" t="s">
        <v>131</v>
      </c>
      <c r="D43" s="23" t="s">
        <v>65</v>
      </c>
      <c r="E43" s="46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132</v>
      </c>
      <c r="C44" s="44" t="s">
        <v>133</v>
      </c>
      <c r="D44" s="42" t="s">
        <v>65</v>
      </c>
      <c r="E44" s="46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</v>
      </c>
      <c r="C45" s="25" t="s">
        <v>135</v>
      </c>
      <c r="D45" s="23" t="s">
        <v>65</v>
      </c>
      <c r="E45" s="46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136</v>
      </c>
      <c r="C46" s="44" t="s">
        <v>137</v>
      </c>
      <c r="D46" s="42" t="s">
        <v>65</v>
      </c>
      <c r="E46" s="46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138</v>
      </c>
      <c r="C47" s="25" t="s">
        <v>139</v>
      </c>
      <c r="D47" s="23" t="s">
        <v>65</v>
      </c>
      <c r="E47" s="46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140</v>
      </c>
      <c r="C48" s="44" t="s">
        <v>141</v>
      </c>
      <c r="D48" s="42" t="s">
        <v>65</v>
      </c>
      <c r="E48" s="46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142</v>
      </c>
      <c r="C49" s="25" t="s">
        <v>143</v>
      </c>
      <c r="D49" s="23" t="s">
        <v>144</v>
      </c>
      <c r="E49" s="4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145</v>
      </c>
      <c r="C50" s="44" t="s">
        <v>146</v>
      </c>
      <c r="D50" s="42" t="s">
        <v>144</v>
      </c>
      <c r="E50" s="4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147</v>
      </c>
      <c r="C51" s="25" t="s">
        <v>148</v>
      </c>
      <c r="D51" s="23" t="s">
        <v>144</v>
      </c>
      <c r="E51" s="4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149</v>
      </c>
      <c r="C52" s="44" t="s">
        <v>150</v>
      </c>
      <c r="D52" s="42" t="s">
        <v>144</v>
      </c>
      <c r="E52" s="4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151</v>
      </c>
      <c r="C53" s="25" t="s">
        <v>152</v>
      </c>
      <c r="D53" s="23" t="s">
        <v>144</v>
      </c>
      <c r="E53" s="4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153</v>
      </c>
      <c r="C54" s="44" t="s">
        <v>154</v>
      </c>
      <c r="D54" s="42" t="s">
        <v>144</v>
      </c>
      <c r="E54" s="4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155</v>
      </c>
      <c r="C55" s="25" t="s">
        <v>156</v>
      </c>
      <c r="D55" s="23" t="s">
        <v>144</v>
      </c>
      <c r="E55" s="4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157</v>
      </c>
      <c r="C56" s="44" t="s">
        <v>158</v>
      </c>
      <c r="D56" s="42" t="s">
        <v>144</v>
      </c>
      <c r="E56" s="4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159</v>
      </c>
      <c r="C57" s="25" t="s">
        <v>160</v>
      </c>
      <c r="D57" s="23" t="s">
        <v>161</v>
      </c>
      <c r="E57" s="46">
        <v>46125</v>
      </c>
      <c r="F57" s="26" t="s">
        <v>6222</v>
      </c>
      <c r="G57" s="26" t="s">
        <v>6224</v>
      </c>
      <c r="H57" s="26" t="s">
        <v>6223</v>
      </c>
      <c r="I57" s="26" t="s">
        <v>6226</v>
      </c>
      <c r="J57" s="26" t="s">
        <v>6223</v>
      </c>
      <c r="K57" s="27" t="s">
        <v>6230</v>
      </c>
      <c r="L57" s="28" t="s">
        <v>6224</v>
      </c>
      <c r="M57" s="29" t="str">
        <f t="shared" si="0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162</v>
      </c>
      <c r="C58" s="44" t="s">
        <v>163</v>
      </c>
      <c r="D58" s="42" t="s">
        <v>161</v>
      </c>
      <c r="E58" s="46">
        <v>46125</v>
      </c>
      <c r="F58" s="26" t="s">
        <v>6222</v>
      </c>
      <c r="G58" s="26" t="s">
        <v>6223</v>
      </c>
      <c r="H58" s="26" t="s">
        <v>6223</v>
      </c>
      <c r="I58" s="26" t="s">
        <v>6228</v>
      </c>
      <c r="J58" s="26" t="s">
        <v>6223</v>
      </c>
      <c r="K58" s="27"/>
      <c r="L58" s="28" t="s">
        <v>6224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164</v>
      </c>
      <c r="C59" s="25" t="s">
        <v>165</v>
      </c>
      <c r="D59" s="23" t="s">
        <v>161</v>
      </c>
      <c r="E59" s="46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166</v>
      </c>
      <c r="C60" s="44" t="s">
        <v>167</v>
      </c>
      <c r="D60" s="42" t="s">
        <v>161</v>
      </c>
      <c r="E60" s="46">
        <v>46125</v>
      </c>
      <c r="F60" s="26" t="s">
        <v>6222</v>
      </c>
      <c r="G60" s="26" t="s">
        <v>6224</v>
      </c>
      <c r="H60" s="26" t="s">
        <v>6223</v>
      </c>
      <c r="I60" s="26" t="s">
        <v>6226</v>
      </c>
      <c r="J60" s="26" t="s">
        <v>6223</v>
      </c>
      <c r="K60" s="27" t="s">
        <v>6231</v>
      </c>
      <c r="L60" s="28" t="s">
        <v>6224</v>
      </c>
      <c r="M60" s="29" t="str">
        <f t="shared" si="0"/>
        <v>⚠ Check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168</v>
      </c>
      <c r="C61" s="25" t="s">
        <v>169</v>
      </c>
      <c r="D61" s="23" t="s">
        <v>161</v>
      </c>
      <c r="E61" s="46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170</v>
      </c>
      <c r="C62" s="44" t="s">
        <v>171</v>
      </c>
      <c r="D62" s="42" t="s">
        <v>161</v>
      </c>
      <c r="E62" s="46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172</v>
      </c>
      <c r="C63" s="25" t="s">
        <v>173</v>
      </c>
      <c r="D63" s="23" t="s">
        <v>161</v>
      </c>
      <c r="E63" s="46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174</v>
      </c>
      <c r="C64" s="44" t="s">
        <v>175</v>
      </c>
      <c r="D64" s="42" t="s">
        <v>161</v>
      </c>
      <c r="E64" s="46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176</v>
      </c>
      <c r="C65" s="25" t="s">
        <v>177</v>
      </c>
      <c r="D65" s="23" t="s">
        <v>161</v>
      </c>
      <c r="E65" s="46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178</v>
      </c>
      <c r="C66" s="44" t="s">
        <v>179</v>
      </c>
      <c r="D66" s="42" t="s">
        <v>161</v>
      </c>
      <c r="E66" s="46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180</v>
      </c>
      <c r="C67" s="25" t="s">
        <v>181</v>
      </c>
      <c r="D67" s="23" t="s">
        <v>161</v>
      </c>
      <c r="E67" s="46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182</v>
      </c>
      <c r="C68" s="44" t="s">
        <v>183</v>
      </c>
      <c r="D68" s="42" t="s">
        <v>161</v>
      </c>
      <c r="E68" s="46">
        <v>46125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184</v>
      </c>
      <c r="C69" s="25" t="s">
        <v>185</v>
      </c>
      <c r="D69" s="23" t="s">
        <v>161</v>
      </c>
      <c r="E69" s="46">
        <v>46125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186</v>
      </c>
      <c r="C70" s="44" t="s">
        <v>187</v>
      </c>
      <c r="D70" s="42" t="s">
        <v>161</v>
      </c>
      <c r="E70" s="46">
        <v>46125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188</v>
      </c>
      <c r="C71" s="25" t="s">
        <v>189</v>
      </c>
      <c r="D71" s="23" t="s">
        <v>161</v>
      </c>
      <c r="E71" s="46">
        <v>46125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190</v>
      </c>
      <c r="C72" s="44" t="s">
        <v>191</v>
      </c>
      <c r="D72" s="42" t="s">
        <v>161</v>
      </c>
      <c r="E72" s="46">
        <v>46125</v>
      </c>
      <c r="F72" s="26" t="s">
        <v>6222</v>
      </c>
      <c r="G72" s="26" t="s">
        <v>6224</v>
      </c>
      <c r="H72" s="26" t="s">
        <v>6223</v>
      </c>
      <c r="I72" s="26" t="s">
        <v>6226</v>
      </c>
      <c r="J72" s="26" t="s">
        <v>6223</v>
      </c>
      <c r="K72" s="27" t="s">
        <v>6230</v>
      </c>
      <c r="L72" s="28" t="s">
        <v>6224</v>
      </c>
      <c r="M72" s="29" t="str">
        <f t="shared" si="5"/>
        <v>⚠ Check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192</v>
      </c>
      <c r="C73" s="25" t="s">
        <v>193</v>
      </c>
      <c r="D73" s="23" t="s">
        <v>194</v>
      </c>
      <c r="E73" s="46">
        <v>46125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195</v>
      </c>
      <c r="C74" s="44" t="s">
        <v>196</v>
      </c>
      <c r="D74" s="42" t="s">
        <v>194</v>
      </c>
      <c r="E74" s="46">
        <v>46125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197</v>
      </c>
      <c r="C75" s="25" t="s">
        <v>198</v>
      </c>
      <c r="D75" s="23" t="s">
        <v>194</v>
      </c>
      <c r="E75" s="46">
        <v>46125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199</v>
      </c>
      <c r="C76" s="44" t="s">
        <v>200</v>
      </c>
      <c r="D76" s="42" t="s">
        <v>194</v>
      </c>
      <c r="E76" s="46">
        <v>46125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201</v>
      </c>
      <c r="C77" s="25" t="s">
        <v>202</v>
      </c>
      <c r="D77" s="23" t="s">
        <v>194</v>
      </c>
      <c r="E77" s="46">
        <v>46125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203</v>
      </c>
      <c r="C78" s="44" t="s">
        <v>204</v>
      </c>
      <c r="D78" s="42" t="s">
        <v>194</v>
      </c>
      <c r="E78" s="46">
        <v>46125</v>
      </c>
      <c r="F78" s="26" t="s">
        <v>6222</v>
      </c>
      <c r="G78" s="26" t="s">
        <v>6224</v>
      </c>
      <c r="H78" s="26" t="s">
        <v>6223</v>
      </c>
      <c r="I78" s="26" t="s">
        <v>6226</v>
      </c>
      <c r="J78" s="26" t="s">
        <v>6223</v>
      </c>
      <c r="K78" s="27" t="s">
        <v>6231</v>
      </c>
      <c r="L78" s="28" t="s">
        <v>6224</v>
      </c>
      <c r="M78" s="29" t="str">
        <f t="shared" si="5"/>
        <v>⚠ Check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205</v>
      </c>
      <c r="C79" s="25" t="s">
        <v>206</v>
      </c>
      <c r="D79" s="23" t="s">
        <v>194</v>
      </c>
      <c r="E79" s="46">
        <v>46125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207</v>
      </c>
      <c r="C80" s="44" t="s">
        <v>208</v>
      </c>
      <c r="D80" s="42" t="s">
        <v>194</v>
      </c>
      <c r="E80" s="46">
        <v>46125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209</v>
      </c>
      <c r="C81" s="25" t="s">
        <v>210</v>
      </c>
      <c r="D81" s="23" t="s">
        <v>194</v>
      </c>
      <c r="E81" s="46">
        <v>46125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6224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211</v>
      </c>
      <c r="C82" s="44" t="s">
        <v>212</v>
      </c>
      <c r="D82" s="42" t="s">
        <v>194</v>
      </c>
      <c r="E82" s="46">
        <v>46125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213</v>
      </c>
      <c r="C83" s="25" t="s">
        <v>214</v>
      </c>
      <c r="D83" s="23" t="s">
        <v>194</v>
      </c>
      <c r="E83" s="46">
        <v>46125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215</v>
      </c>
      <c r="C84" s="44" t="s">
        <v>216</v>
      </c>
      <c r="D84" s="42" t="s">
        <v>194</v>
      </c>
      <c r="E84" s="46">
        <v>46125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217</v>
      </c>
      <c r="C85" s="25" t="s">
        <v>218</v>
      </c>
      <c r="D85" s="23" t="s">
        <v>194</v>
      </c>
      <c r="E85" s="46">
        <v>46125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219</v>
      </c>
      <c r="C86" s="44" t="s">
        <v>220</v>
      </c>
      <c r="D86" s="42" t="s">
        <v>194</v>
      </c>
      <c r="E86" s="46">
        <v>46125</v>
      </c>
      <c r="F86" s="26" t="s">
        <v>6222</v>
      </c>
      <c r="G86" s="26" t="s">
        <v>6224</v>
      </c>
      <c r="H86" s="26" t="s">
        <v>6223</v>
      </c>
      <c r="I86" s="26" t="s">
        <v>6225</v>
      </c>
      <c r="J86" s="26" t="s">
        <v>6224</v>
      </c>
      <c r="K86" s="27"/>
      <c r="L86" s="28" t="s">
        <v>6223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221</v>
      </c>
      <c r="C87" s="25" t="s">
        <v>222</v>
      </c>
      <c r="D87" s="23" t="s">
        <v>194</v>
      </c>
      <c r="E87" s="46">
        <v>46125</v>
      </c>
      <c r="F87" s="26" t="s">
        <v>6222</v>
      </c>
      <c r="G87" s="26" t="s">
        <v>6224</v>
      </c>
      <c r="H87" s="26" t="s">
        <v>6223</v>
      </c>
      <c r="I87" s="26" t="s">
        <v>6225</v>
      </c>
      <c r="J87" s="26" t="s">
        <v>6224</v>
      </c>
      <c r="K87" s="27"/>
      <c r="L87" s="28" t="s">
        <v>6223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223</v>
      </c>
      <c r="C88" s="44" t="s">
        <v>224</v>
      </c>
      <c r="D88" s="42" t="s">
        <v>194</v>
      </c>
      <c r="E88" s="46">
        <v>46125</v>
      </c>
      <c r="F88" s="26" t="s">
        <v>6222</v>
      </c>
      <c r="G88" s="26" t="s">
        <v>6224</v>
      </c>
      <c r="H88" s="26" t="s">
        <v>6223</v>
      </c>
      <c r="I88" s="26" t="s">
        <v>6225</v>
      </c>
      <c r="J88" s="26" t="s">
        <v>6224</v>
      </c>
      <c r="K88" s="27"/>
      <c r="L88" s="28" t="s">
        <v>6223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225</v>
      </c>
      <c r="C89" s="25" t="s">
        <v>226</v>
      </c>
      <c r="D89" s="23" t="s">
        <v>194</v>
      </c>
      <c r="E89" s="46">
        <v>46125</v>
      </c>
      <c r="F89" s="26" t="s">
        <v>6222</v>
      </c>
      <c r="G89" s="26" t="s">
        <v>6224</v>
      </c>
      <c r="H89" s="26" t="s">
        <v>6223</v>
      </c>
      <c r="I89" s="26" t="s">
        <v>6225</v>
      </c>
      <c r="J89" s="26" t="s">
        <v>6224</v>
      </c>
      <c r="K89" s="27"/>
      <c r="L89" s="28" t="s">
        <v>6223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227</v>
      </c>
      <c r="C90" s="44" t="s">
        <v>228</v>
      </c>
      <c r="D90" s="42" t="s">
        <v>194</v>
      </c>
      <c r="E90" s="46">
        <v>46125</v>
      </c>
      <c r="F90" s="26" t="s">
        <v>6222</v>
      </c>
      <c r="G90" s="26" t="s">
        <v>6224</v>
      </c>
      <c r="H90" s="26" t="s">
        <v>6223</v>
      </c>
      <c r="I90" s="26" t="s">
        <v>6225</v>
      </c>
      <c r="J90" s="26" t="s">
        <v>6224</v>
      </c>
      <c r="K90" s="27"/>
      <c r="L90" s="28" t="s">
        <v>6223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229</v>
      </c>
      <c r="C91" s="25" t="s">
        <v>230</v>
      </c>
      <c r="D91" s="23" t="s">
        <v>194</v>
      </c>
      <c r="E91" s="46">
        <v>46125</v>
      </c>
      <c r="F91" s="26" t="s">
        <v>6222</v>
      </c>
      <c r="G91" s="26" t="s">
        <v>6224</v>
      </c>
      <c r="H91" s="26" t="s">
        <v>6223</v>
      </c>
      <c r="I91" s="26" t="s">
        <v>6225</v>
      </c>
      <c r="J91" s="26" t="s">
        <v>6224</v>
      </c>
      <c r="K91" s="27"/>
      <c r="L91" s="28" t="s">
        <v>6223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231</v>
      </c>
      <c r="C92" s="44" t="s">
        <v>232</v>
      </c>
      <c r="D92" s="42" t="s">
        <v>194</v>
      </c>
      <c r="E92" s="46">
        <v>46125</v>
      </c>
      <c r="F92" s="26" t="s">
        <v>6222</v>
      </c>
      <c r="G92" s="26" t="s">
        <v>6224</v>
      </c>
      <c r="H92" s="26" t="s">
        <v>6223</v>
      </c>
      <c r="I92" s="26" t="s">
        <v>6225</v>
      </c>
      <c r="J92" s="26" t="s">
        <v>6224</v>
      </c>
      <c r="K92" s="27"/>
      <c r="L92" s="28" t="s">
        <v>6223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233</v>
      </c>
      <c r="C93" s="25" t="s">
        <v>234</v>
      </c>
      <c r="D93" s="23" t="s">
        <v>194</v>
      </c>
      <c r="E93" s="46">
        <v>46125</v>
      </c>
      <c r="F93" s="26" t="s">
        <v>6222</v>
      </c>
      <c r="G93" s="26" t="s">
        <v>6224</v>
      </c>
      <c r="H93" s="26" t="s">
        <v>6223</v>
      </c>
      <c r="I93" s="26" t="s">
        <v>6225</v>
      </c>
      <c r="J93" s="26" t="s">
        <v>6224</v>
      </c>
      <c r="K93" s="27"/>
      <c r="L93" s="28" t="s">
        <v>6223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235</v>
      </c>
      <c r="C94" s="44" t="s">
        <v>236</v>
      </c>
      <c r="D94" s="42" t="s">
        <v>194</v>
      </c>
      <c r="E94" s="46">
        <v>46125</v>
      </c>
      <c r="F94" s="26" t="s">
        <v>6222</v>
      </c>
      <c r="G94" s="26" t="s">
        <v>6224</v>
      </c>
      <c r="H94" s="26" t="s">
        <v>6223</v>
      </c>
      <c r="I94" s="26" t="s">
        <v>6225</v>
      </c>
      <c r="J94" s="26" t="s">
        <v>6224</v>
      </c>
      <c r="K94" s="27"/>
      <c r="L94" s="28" t="s">
        <v>6223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237</v>
      </c>
      <c r="C95" s="25" t="s">
        <v>238</v>
      </c>
      <c r="D95" s="23" t="s">
        <v>194</v>
      </c>
      <c r="E95" s="46">
        <v>46125</v>
      </c>
      <c r="F95" s="26" t="s">
        <v>6222</v>
      </c>
      <c r="G95" s="26" t="s">
        <v>6224</v>
      </c>
      <c r="H95" s="26" t="s">
        <v>6223</v>
      </c>
      <c r="I95" s="26" t="s">
        <v>6225</v>
      </c>
      <c r="J95" s="26" t="s">
        <v>6224</v>
      </c>
      <c r="K95" s="27"/>
      <c r="L95" s="28" t="s">
        <v>6223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239</v>
      </c>
      <c r="C96" s="44" t="s">
        <v>240</v>
      </c>
      <c r="D96" s="42" t="s">
        <v>194</v>
      </c>
      <c r="E96" s="46">
        <v>46125</v>
      </c>
      <c r="F96" s="26" t="s">
        <v>6222</v>
      </c>
      <c r="G96" s="26" t="s">
        <v>6224</v>
      </c>
      <c r="H96" s="26" t="s">
        <v>6223</v>
      </c>
      <c r="I96" s="26" t="s">
        <v>6225</v>
      </c>
      <c r="J96" s="26" t="s">
        <v>6224</v>
      </c>
      <c r="K96" s="27"/>
      <c r="L96" s="28" t="s">
        <v>6223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241</v>
      </c>
      <c r="C97" s="25" t="s">
        <v>242</v>
      </c>
      <c r="D97" s="23" t="s">
        <v>194</v>
      </c>
      <c r="E97" s="46">
        <v>46125</v>
      </c>
      <c r="F97" s="26" t="s">
        <v>6222</v>
      </c>
      <c r="G97" s="26" t="s">
        <v>6224</v>
      </c>
      <c r="H97" s="26" t="s">
        <v>6223</v>
      </c>
      <c r="I97" s="26" t="s">
        <v>6225</v>
      </c>
      <c r="J97" s="26" t="s">
        <v>6224</v>
      </c>
      <c r="K97" s="27"/>
      <c r="L97" s="28" t="s">
        <v>6223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243</v>
      </c>
      <c r="C98" s="44" t="s">
        <v>244</v>
      </c>
      <c r="D98" s="42" t="s">
        <v>194</v>
      </c>
      <c r="E98" s="46">
        <v>46125</v>
      </c>
      <c r="F98" s="26" t="s">
        <v>6222</v>
      </c>
      <c r="G98" s="26" t="s">
        <v>6224</v>
      </c>
      <c r="H98" s="26" t="s">
        <v>6223</v>
      </c>
      <c r="I98" s="26" t="s">
        <v>6226</v>
      </c>
      <c r="J98" s="26" t="s">
        <v>6223</v>
      </c>
      <c r="K98" s="27" t="s">
        <v>6230</v>
      </c>
      <c r="L98" s="28" t="s">
        <v>6224</v>
      </c>
      <c r="M98" s="29" t="str">
        <f t="shared" si="5"/>
        <v>⚠ Check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245</v>
      </c>
      <c r="C99" s="25" t="s">
        <v>246</v>
      </c>
      <c r="D99" s="23" t="s">
        <v>194</v>
      </c>
      <c r="E99" s="46">
        <v>46125</v>
      </c>
      <c r="F99" s="26" t="s">
        <v>6222</v>
      </c>
      <c r="G99" s="26" t="s">
        <v>6224</v>
      </c>
      <c r="H99" s="26" t="s">
        <v>6223</v>
      </c>
      <c r="I99" s="26" t="s">
        <v>6225</v>
      </c>
      <c r="J99" s="26" t="s">
        <v>6224</v>
      </c>
      <c r="K99" s="27"/>
      <c r="L99" s="28" t="s">
        <v>6223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247</v>
      </c>
      <c r="C100" s="44" t="s">
        <v>248</v>
      </c>
      <c r="D100" s="42" t="s">
        <v>194</v>
      </c>
      <c r="E100" s="46">
        <v>46125</v>
      </c>
      <c r="F100" s="26" t="s">
        <v>6222</v>
      </c>
      <c r="G100" s="26" t="s">
        <v>6224</v>
      </c>
      <c r="H100" s="26" t="s">
        <v>6223</v>
      </c>
      <c r="I100" s="26" t="s">
        <v>6225</v>
      </c>
      <c r="J100" s="26" t="s">
        <v>6224</v>
      </c>
      <c r="K100" s="27" t="s">
        <v>6229</v>
      </c>
      <c r="L100" s="28" t="s">
        <v>6223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249</v>
      </c>
      <c r="C101" s="25" t="s">
        <v>250</v>
      </c>
      <c r="D101" s="23" t="s">
        <v>194</v>
      </c>
      <c r="E101" s="46">
        <v>46125</v>
      </c>
      <c r="F101" s="26" t="s">
        <v>6222</v>
      </c>
      <c r="G101" s="26" t="s">
        <v>6224</v>
      </c>
      <c r="H101" s="26" t="s">
        <v>6223</v>
      </c>
      <c r="I101" s="26" t="s">
        <v>6225</v>
      </c>
      <c r="J101" s="26" t="s">
        <v>6224</v>
      </c>
      <c r="K101" s="27" t="s">
        <v>6229</v>
      </c>
      <c r="L101" s="28" t="s">
        <v>6223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251</v>
      </c>
      <c r="C102" s="44" t="s">
        <v>252</v>
      </c>
      <c r="D102" s="42" t="s">
        <v>194</v>
      </c>
      <c r="E102" s="46">
        <v>46125</v>
      </c>
      <c r="F102" s="26" t="s">
        <v>6222</v>
      </c>
      <c r="G102" s="26" t="s">
        <v>6224</v>
      </c>
      <c r="H102" s="26" t="s">
        <v>6223</v>
      </c>
      <c r="I102" s="26" t="s">
        <v>6225</v>
      </c>
      <c r="J102" s="26" t="s">
        <v>6224</v>
      </c>
      <c r="K102" s="27" t="s">
        <v>6229</v>
      </c>
      <c r="L102" s="28" t="s">
        <v>6223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253</v>
      </c>
      <c r="C103" s="25" t="s">
        <v>254</v>
      </c>
      <c r="D103" s="23" t="s">
        <v>194</v>
      </c>
      <c r="E103" s="46">
        <v>46125</v>
      </c>
      <c r="F103" s="26" t="s">
        <v>6222</v>
      </c>
      <c r="G103" s="26" t="s">
        <v>6224</v>
      </c>
      <c r="H103" s="26" t="s">
        <v>6223</v>
      </c>
      <c r="I103" s="26" t="s">
        <v>6225</v>
      </c>
      <c r="J103" s="26" t="s">
        <v>6224</v>
      </c>
      <c r="K103" s="27"/>
      <c r="L103" s="28" t="s">
        <v>6223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255</v>
      </c>
      <c r="C104" s="44" t="s">
        <v>256</v>
      </c>
      <c r="D104" s="42" t="s">
        <v>194</v>
      </c>
      <c r="E104" s="46">
        <v>46125</v>
      </c>
      <c r="F104" s="26" t="s">
        <v>6222</v>
      </c>
      <c r="G104" s="26" t="s">
        <v>6224</v>
      </c>
      <c r="H104" s="26" t="s">
        <v>6223</v>
      </c>
      <c r="I104" s="26" t="s">
        <v>6225</v>
      </c>
      <c r="J104" s="26" t="s">
        <v>6224</v>
      </c>
      <c r="K104" s="27"/>
      <c r="L104" s="28" t="s">
        <v>6223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257</v>
      </c>
      <c r="C105" s="25" t="s">
        <v>258</v>
      </c>
      <c r="D105" s="23" t="s">
        <v>194</v>
      </c>
      <c r="E105" s="46">
        <v>46125</v>
      </c>
      <c r="F105" s="26" t="s">
        <v>6222</v>
      </c>
      <c r="G105" s="26" t="s">
        <v>6224</v>
      </c>
      <c r="H105" s="26" t="s">
        <v>6223</v>
      </c>
      <c r="I105" s="26" t="s">
        <v>6225</v>
      </c>
      <c r="J105" s="26" t="s">
        <v>6224</v>
      </c>
      <c r="K105" s="27"/>
      <c r="L105" s="28" t="s">
        <v>6223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259</v>
      </c>
      <c r="C106" s="44" t="s">
        <v>260</v>
      </c>
      <c r="D106" s="42" t="s">
        <v>194</v>
      </c>
      <c r="E106" s="46">
        <v>46125</v>
      </c>
      <c r="F106" s="26" t="s">
        <v>6222</v>
      </c>
      <c r="G106" s="26" t="s">
        <v>6224</v>
      </c>
      <c r="H106" s="26" t="s">
        <v>6223</v>
      </c>
      <c r="I106" s="26" t="s">
        <v>6225</v>
      </c>
      <c r="J106" s="26" t="s">
        <v>6224</v>
      </c>
      <c r="K106" s="27"/>
      <c r="L106" s="28" t="s">
        <v>6223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261</v>
      </c>
      <c r="C107" s="25" t="s">
        <v>262</v>
      </c>
      <c r="D107" s="23" t="s">
        <v>194</v>
      </c>
      <c r="E107" s="46">
        <v>46125</v>
      </c>
      <c r="F107" s="26" t="s">
        <v>6222</v>
      </c>
      <c r="G107" s="26" t="s">
        <v>6224</v>
      </c>
      <c r="H107" s="26" t="s">
        <v>6223</v>
      </c>
      <c r="I107" s="26" t="s">
        <v>6225</v>
      </c>
      <c r="J107" s="26" t="s">
        <v>6224</v>
      </c>
      <c r="K107" s="27"/>
      <c r="L107" s="28" t="s">
        <v>6223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263</v>
      </c>
      <c r="C108" s="44" t="s">
        <v>264</v>
      </c>
      <c r="D108" s="42" t="s">
        <v>194</v>
      </c>
      <c r="E108" s="46">
        <v>46125</v>
      </c>
      <c r="F108" s="26" t="s">
        <v>6222</v>
      </c>
      <c r="G108" s="26" t="s">
        <v>6224</v>
      </c>
      <c r="H108" s="26" t="s">
        <v>6223</v>
      </c>
      <c r="I108" s="26" t="s">
        <v>6225</v>
      </c>
      <c r="J108" s="26" t="s">
        <v>6224</v>
      </c>
      <c r="K108" s="27"/>
      <c r="L108" s="28" t="s">
        <v>6223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265</v>
      </c>
      <c r="C109" s="25" t="s">
        <v>266</v>
      </c>
      <c r="D109" s="23" t="s">
        <v>194</v>
      </c>
      <c r="E109" s="46">
        <v>46125</v>
      </c>
      <c r="F109" s="26" t="s">
        <v>6222</v>
      </c>
      <c r="G109" s="26" t="s">
        <v>6224</v>
      </c>
      <c r="H109" s="26" t="s">
        <v>6223</v>
      </c>
      <c r="I109" s="26" t="s">
        <v>6225</v>
      </c>
      <c r="J109" s="26" t="s">
        <v>6224</v>
      </c>
      <c r="K109" s="27"/>
      <c r="L109" s="28" t="s">
        <v>6223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267</v>
      </c>
      <c r="C110" s="44" t="s">
        <v>268</v>
      </c>
      <c r="D110" s="42" t="s">
        <v>194</v>
      </c>
      <c r="E110" s="46">
        <v>46125</v>
      </c>
      <c r="F110" s="26" t="s">
        <v>6222</v>
      </c>
      <c r="G110" s="26" t="s">
        <v>6224</v>
      </c>
      <c r="H110" s="26" t="s">
        <v>6223</v>
      </c>
      <c r="I110" s="26" t="s">
        <v>6225</v>
      </c>
      <c r="J110" s="26" t="s">
        <v>6224</v>
      </c>
      <c r="K110" s="27"/>
      <c r="L110" s="28" t="s">
        <v>6223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269</v>
      </c>
      <c r="C111" s="25" t="s">
        <v>270</v>
      </c>
      <c r="D111" s="23" t="s">
        <v>194</v>
      </c>
      <c r="E111" s="46">
        <v>46125</v>
      </c>
      <c r="F111" s="26" t="s">
        <v>6222</v>
      </c>
      <c r="G111" s="26" t="s">
        <v>6224</v>
      </c>
      <c r="H111" s="26" t="s">
        <v>6223</v>
      </c>
      <c r="I111" s="26" t="s">
        <v>6225</v>
      </c>
      <c r="J111" s="26" t="s">
        <v>6224</v>
      </c>
      <c r="K111" s="27"/>
      <c r="L111" s="28" t="s">
        <v>6223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271</v>
      </c>
      <c r="C112" s="44" t="s">
        <v>272</v>
      </c>
      <c r="D112" s="42" t="s">
        <v>194</v>
      </c>
      <c r="E112" s="46">
        <v>46125</v>
      </c>
      <c r="F112" s="26" t="s">
        <v>6222</v>
      </c>
      <c r="G112" s="26" t="s">
        <v>6224</v>
      </c>
      <c r="H112" s="26" t="s">
        <v>6223</v>
      </c>
      <c r="I112" s="26" t="s">
        <v>6225</v>
      </c>
      <c r="J112" s="26" t="s">
        <v>6224</v>
      </c>
      <c r="K112" s="27"/>
      <c r="L112" s="28" t="s">
        <v>6223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273</v>
      </c>
      <c r="C113" s="25" t="s">
        <v>274</v>
      </c>
      <c r="D113" s="23" t="s">
        <v>194</v>
      </c>
      <c r="E113" s="46">
        <v>46125</v>
      </c>
      <c r="F113" s="26" t="s">
        <v>6222</v>
      </c>
      <c r="G113" s="26" t="s">
        <v>6224</v>
      </c>
      <c r="H113" s="26" t="s">
        <v>6223</v>
      </c>
      <c r="I113" s="26" t="s">
        <v>6225</v>
      </c>
      <c r="J113" s="26" t="s">
        <v>6224</v>
      </c>
      <c r="K113" s="27"/>
      <c r="L113" s="28" t="s">
        <v>6223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275</v>
      </c>
      <c r="C114" s="44" t="s">
        <v>276</v>
      </c>
      <c r="D114" s="42" t="s">
        <v>194</v>
      </c>
      <c r="E114" s="46">
        <v>46125</v>
      </c>
      <c r="F114" s="26" t="s">
        <v>6222</v>
      </c>
      <c r="G114" s="26" t="s">
        <v>6224</v>
      </c>
      <c r="H114" s="26" t="s">
        <v>6223</v>
      </c>
      <c r="I114" s="26" t="s">
        <v>6226</v>
      </c>
      <c r="J114" s="26" t="s">
        <v>6223</v>
      </c>
      <c r="K114" s="27" t="s">
        <v>6227</v>
      </c>
      <c r="L114" s="28" t="s">
        <v>6224</v>
      </c>
      <c r="M114" s="29" t="str">
        <f t="shared" si="5"/>
        <v>⚠ Check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277</v>
      </c>
      <c r="C115" s="25" t="s">
        <v>278</v>
      </c>
      <c r="D115" s="23" t="s">
        <v>194</v>
      </c>
      <c r="E115" s="46">
        <v>46125</v>
      </c>
      <c r="F115" s="26" t="s">
        <v>6222</v>
      </c>
      <c r="G115" s="26" t="s">
        <v>6224</v>
      </c>
      <c r="H115" s="26" t="s">
        <v>6223</v>
      </c>
      <c r="I115" s="26" t="s">
        <v>6226</v>
      </c>
      <c r="J115" s="26" t="s">
        <v>6223</v>
      </c>
      <c r="K115" s="27" t="s">
        <v>6230</v>
      </c>
      <c r="L115" s="28" t="s">
        <v>6224</v>
      </c>
      <c r="M115" s="29" t="str">
        <f t="shared" si="5"/>
        <v>⚠ Check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279</v>
      </c>
      <c r="C116" s="44" t="s">
        <v>280</v>
      </c>
      <c r="D116" s="42" t="s">
        <v>194</v>
      </c>
      <c r="E116" s="46">
        <v>46125</v>
      </c>
      <c r="F116" s="26" t="s">
        <v>6222</v>
      </c>
      <c r="G116" s="26" t="s">
        <v>6224</v>
      </c>
      <c r="H116" s="26" t="s">
        <v>6223</v>
      </c>
      <c r="I116" s="26" t="s">
        <v>6225</v>
      </c>
      <c r="J116" s="26" t="s">
        <v>6224</v>
      </c>
      <c r="K116" s="27"/>
      <c r="L116" s="28" t="s">
        <v>6223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281</v>
      </c>
      <c r="C117" s="25" t="s">
        <v>282</v>
      </c>
      <c r="D117" s="23" t="s">
        <v>194</v>
      </c>
      <c r="E117" s="46">
        <v>46125</v>
      </c>
      <c r="F117" s="26" t="s">
        <v>6222</v>
      </c>
      <c r="G117" s="26" t="s">
        <v>6224</v>
      </c>
      <c r="H117" s="26" t="s">
        <v>6223</v>
      </c>
      <c r="I117" s="26" t="s">
        <v>6225</v>
      </c>
      <c r="J117" s="26" t="s">
        <v>6224</v>
      </c>
      <c r="K117" s="27"/>
      <c r="L117" s="28" t="s">
        <v>6223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283</v>
      </c>
      <c r="C118" s="44" t="s">
        <v>284</v>
      </c>
      <c r="D118" s="42" t="s">
        <v>194</v>
      </c>
      <c r="E118" s="46">
        <v>46125</v>
      </c>
      <c r="F118" s="26" t="s">
        <v>6222</v>
      </c>
      <c r="G118" s="26" t="s">
        <v>6224</v>
      </c>
      <c r="H118" s="26" t="s">
        <v>6223</v>
      </c>
      <c r="I118" s="26" t="s">
        <v>6225</v>
      </c>
      <c r="J118" s="26" t="s">
        <v>6224</v>
      </c>
      <c r="K118" s="27"/>
      <c r="L118" s="28" t="s">
        <v>6223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285</v>
      </c>
      <c r="C119" s="25" t="s">
        <v>286</v>
      </c>
      <c r="D119" s="23" t="s">
        <v>194</v>
      </c>
      <c r="E119" s="46">
        <v>46125</v>
      </c>
      <c r="F119" s="26" t="s">
        <v>6222</v>
      </c>
      <c r="G119" s="26" t="s">
        <v>6224</v>
      </c>
      <c r="H119" s="26" t="s">
        <v>6223</v>
      </c>
      <c r="I119" s="26" t="s">
        <v>6225</v>
      </c>
      <c r="J119" s="26" t="s">
        <v>6224</v>
      </c>
      <c r="K119" s="27"/>
      <c r="L119" s="28" t="s">
        <v>6223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287</v>
      </c>
      <c r="C120" s="44" t="s">
        <v>288</v>
      </c>
      <c r="D120" s="42" t="s">
        <v>194</v>
      </c>
      <c r="E120" s="46">
        <v>46125</v>
      </c>
      <c r="F120" s="26" t="s">
        <v>6222</v>
      </c>
      <c r="G120" s="26" t="s">
        <v>6224</v>
      </c>
      <c r="H120" s="26" t="s">
        <v>6223</v>
      </c>
      <c r="I120" s="26" t="s">
        <v>6225</v>
      </c>
      <c r="J120" s="26" t="s">
        <v>6224</v>
      </c>
      <c r="K120" s="27"/>
      <c r="L120" s="28" t="s">
        <v>6223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289</v>
      </c>
      <c r="C121" s="25" t="s">
        <v>290</v>
      </c>
      <c r="D121" s="23" t="s">
        <v>194</v>
      </c>
      <c r="E121" s="46">
        <v>46125</v>
      </c>
      <c r="F121" s="26" t="s">
        <v>6222</v>
      </c>
      <c r="G121" s="26" t="s">
        <v>6224</v>
      </c>
      <c r="H121" s="26" t="s">
        <v>6223</v>
      </c>
      <c r="I121" s="26" t="s">
        <v>6225</v>
      </c>
      <c r="J121" s="26" t="s">
        <v>6224</v>
      </c>
      <c r="K121" s="27" t="s">
        <v>6229</v>
      </c>
      <c r="L121" s="28" t="s">
        <v>6223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291</v>
      </c>
      <c r="C122" s="44" t="s">
        <v>292</v>
      </c>
      <c r="D122" s="42" t="s">
        <v>194</v>
      </c>
      <c r="E122" s="46">
        <v>46125</v>
      </c>
      <c r="F122" s="26" t="s">
        <v>6222</v>
      </c>
      <c r="G122" s="26" t="s">
        <v>6224</v>
      </c>
      <c r="H122" s="26" t="s">
        <v>6223</v>
      </c>
      <c r="I122" s="26" t="s">
        <v>6225</v>
      </c>
      <c r="J122" s="26" t="s">
        <v>6224</v>
      </c>
      <c r="K122" s="27"/>
      <c r="L122" s="28" t="s">
        <v>6223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293</v>
      </c>
      <c r="C123" s="25" t="s">
        <v>294</v>
      </c>
      <c r="D123" s="23" t="s">
        <v>194</v>
      </c>
      <c r="E123" s="46">
        <v>46125</v>
      </c>
      <c r="F123" s="26" t="s">
        <v>6222</v>
      </c>
      <c r="G123" s="26" t="s">
        <v>6224</v>
      </c>
      <c r="H123" s="26" t="s">
        <v>6223</v>
      </c>
      <c r="I123" s="26" t="s">
        <v>6225</v>
      </c>
      <c r="J123" s="26" t="s">
        <v>6224</v>
      </c>
      <c r="K123" s="27"/>
      <c r="L123" s="28" t="s">
        <v>6223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295</v>
      </c>
      <c r="C124" s="44" t="s">
        <v>296</v>
      </c>
      <c r="D124" s="42" t="s">
        <v>194</v>
      </c>
      <c r="E124" s="46">
        <v>46125</v>
      </c>
      <c r="F124" s="26" t="s">
        <v>6222</v>
      </c>
      <c r="G124" s="26" t="s">
        <v>6224</v>
      </c>
      <c r="H124" s="26" t="s">
        <v>6223</v>
      </c>
      <c r="I124" s="26" t="s">
        <v>6225</v>
      </c>
      <c r="J124" s="26" t="s">
        <v>6224</v>
      </c>
      <c r="K124" s="27"/>
      <c r="L124" s="28" t="s">
        <v>6223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297</v>
      </c>
      <c r="C125" s="25" t="s">
        <v>298</v>
      </c>
      <c r="D125" s="23" t="s">
        <v>194</v>
      </c>
      <c r="E125" s="46">
        <v>46125</v>
      </c>
      <c r="F125" s="26" t="s">
        <v>6222</v>
      </c>
      <c r="G125" s="26" t="s">
        <v>6224</v>
      </c>
      <c r="H125" s="26" t="s">
        <v>6223</v>
      </c>
      <c r="I125" s="26" t="s">
        <v>6225</v>
      </c>
      <c r="J125" s="26" t="s">
        <v>6224</v>
      </c>
      <c r="K125" s="27"/>
      <c r="L125" s="28" t="s">
        <v>6223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299</v>
      </c>
      <c r="C126" s="44" t="s">
        <v>300</v>
      </c>
      <c r="D126" s="42" t="s">
        <v>194</v>
      </c>
      <c r="E126" s="46">
        <v>46125</v>
      </c>
      <c r="F126" s="26" t="s">
        <v>6222</v>
      </c>
      <c r="G126" s="26" t="s">
        <v>6224</v>
      </c>
      <c r="H126" s="26" t="s">
        <v>6223</v>
      </c>
      <c r="I126" s="26" t="s">
        <v>6225</v>
      </c>
      <c r="J126" s="26" t="s">
        <v>6224</v>
      </c>
      <c r="K126" s="27" t="s">
        <v>6229</v>
      </c>
      <c r="L126" s="28" t="s">
        <v>6223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301</v>
      </c>
      <c r="C127" s="25" t="s">
        <v>302</v>
      </c>
      <c r="D127" s="23" t="s">
        <v>194</v>
      </c>
      <c r="E127" s="46">
        <v>46125</v>
      </c>
      <c r="F127" s="26" t="s">
        <v>6222</v>
      </c>
      <c r="G127" s="26" t="s">
        <v>6224</v>
      </c>
      <c r="H127" s="26" t="s">
        <v>6223</v>
      </c>
      <c r="I127" s="26" t="s">
        <v>6225</v>
      </c>
      <c r="J127" s="26" t="s">
        <v>6224</v>
      </c>
      <c r="K127" s="27" t="s">
        <v>6229</v>
      </c>
      <c r="L127" s="28" t="s">
        <v>6223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303</v>
      </c>
      <c r="C128" s="44" t="s">
        <v>304</v>
      </c>
      <c r="D128" s="42" t="s">
        <v>194</v>
      </c>
      <c r="E128" s="46">
        <v>46125</v>
      </c>
      <c r="F128" s="26" t="s">
        <v>6222</v>
      </c>
      <c r="G128" s="26" t="s">
        <v>6224</v>
      </c>
      <c r="H128" s="26" t="s">
        <v>6223</v>
      </c>
      <c r="I128" s="26" t="s">
        <v>6226</v>
      </c>
      <c r="J128" s="26" t="s">
        <v>6223</v>
      </c>
      <c r="K128" s="27" t="s">
        <v>6230</v>
      </c>
      <c r="L128" s="28" t="s">
        <v>6224</v>
      </c>
      <c r="M128" s="29" t="str">
        <f t="shared" si="5"/>
        <v>⚠ Check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305</v>
      </c>
      <c r="C129" s="25" t="s">
        <v>306</v>
      </c>
      <c r="D129" s="23" t="s">
        <v>194</v>
      </c>
      <c r="E129" s="46">
        <v>46125</v>
      </c>
      <c r="F129" s="26" t="s">
        <v>6222</v>
      </c>
      <c r="G129" s="26" t="s">
        <v>6224</v>
      </c>
      <c r="H129" s="26" t="s">
        <v>6223</v>
      </c>
      <c r="I129" s="26" t="s">
        <v>6226</v>
      </c>
      <c r="J129" s="26" t="s">
        <v>6223</v>
      </c>
      <c r="K129" s="27" t="s">
        <v>6227</v>
      </c>
      <c r="L129" s="28" t="s">
        <v>6224</v>
      </c>
      <c r="M129" s="29" t="str">
        <f t="shared" si="5"/>
        <v>⚠ Check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307</v>
      </c>
      <c r="C130" s="44" t="s">
        <v>308</v>
      </c>
      <c r="D130" s="42" t="s">
        <v>194</v>
      </c>
      <c r="E130" s="46">
        <v>46125</v>
      </c>
      <c r="F130" s="26" t="s">
        <v>6222</v>
      </c>
      <c r="G130" s="26" t="s">
        <v>6224</v>
      </c>
      <c r="H130" s="26" t="s">
        <v>6223</v>
      </c>
      <c r="I130" s="26" t="s">
        <v>6225</v>
      </c>
      <c r="J130" s="26" t="s">
        <v>6224</v>
      </c>
      <c r="K130" s="27"/>
      <c r="L130" s="28" t="s">
        <v>6223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309</v>
      </c>
      <c r="C131" s="25" t="s">
        <v>310</v>
      </c>
      <c r="D131" s="23" t="s">
        <v>194</v>
      </c>
      <c r="E131" s="46">
        <v>46125</v>
      </c>
      <c r="F131" s="26" t="s">
        <v>6222</v>
      </c>
      <c r="G131" s="26" t="s">
        <v>6224</v>
      </c>
      <c r="H131" s="26" t="s">
        <v>6223</v>
      </c>
      <c r="I131" s="26" t="s">
        <v>6225</v>
      </c>
      <c r="J131" s="26" t="s">
        <v>6224</v>
      </c>
      <c r="K131" s="27"/>
      <c r="L131" s="28" t="s">
        <v>6223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311</v>
      </c>
      <c r="C132" s="44" t="s">
        <v>312</v>
      </c>
      <c r="D132" s="42" t="s">
        <v>194</v>
      </c>
      <c r="E132" s="46">
        <v>46125</v>
      </c>
      <c r="F132" s="26" t="s">
        <v>6222</v>
      </c>
      <c r="G132" s="26" t="s">
        <v>6224</v>
      </c>
      <c r="H132" s="26" t="s">
        <v>6223</v>
      </c>
      <c r="I132" s="26" t="s">
        <v>6225</v>
      </c>
      <c r="J132" s="26" t="s">
        <v>6224</v>
      </c>
      <c r="K132" s="27"/>
      <c r="L132" s="28" t="s">
        <v>6223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313</v>
      </c>
      <c r="C133" s="25" t="s">
        <v>314</v>
      </c>
      <c r="D133" s="23" t="s">
        <v>194</v>
      </c>
      <c r="E133" s="46">
        <v>46125</v>
      </c>
      <c r="F133" s="26" t="s">
        <v>6222</v>
      </c>
      <c r="G133" s="26" t="s">
        <v>6224</v>
      </c>
      <c r="H133" s="26" t="s">
        <v>6223</v>
      </c>
      <c r="I133" s="26" t="s">
        <v>6225</v>
      </c>
      <c r="J133" s="26" t="s">
        <v>6224</v>
      </c>
      <c r="K133" s="27" t="s">
        <v>6229</v>
      </c>
      <c r="L133" s="28" t="s">
        <v>6223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315</v>
      </c>
      <c r="C134" s="44" t="s">
        <v>316</v>
      </c>
      <c r="D134" s="42" t="s">
        <v>194</v>
      </c>
      <c r="E134" s="46">
        <v>46125</v>
      </c>
      <c r="F134" s="26" t="s">
        <v>6222</v>
      </c>
      <c r="G134" s="26" t="s">
        <v>6224</v>
      </c>
      <c r="H134" s="26" t="s">
        <v>6223</v>
      </c>
      <c r="I134" s="26" t="s">
        <v>6225</v>
      </c>
      <c r="J134" s="26" t="s">
        <v>6224</v>
      </c>
      <c r="K134" s="27" t="s">
        <v>6229</v>
      </c>
      <c r="L134" s="28" t="s">
        <v>6223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317</v>
      </c>
      <c r="C135" s="25" t="s">
        <v>318</v>
      </c>
      <c r="D135" s="23" t="s">
        <v>194</v>
      </c>
      <c r="E135" s="46">
        <v>46125</v>
      </c>
      <c r="F135" s="26" t="s">
        <v>6222</v>
      </c>
      <c r="G135" s="26" t="s">
        <v>6224</v>
      </c>
      <c r="H135" s="26" t="s">
        <v>6223</v>
      </c>
      <c r="I135" s="26" t="s">
        <v>6225</v>
      </c>
      <c r="J135" s="26" t="s">
        <v>6224</v>
      </c>
      <c r="K135" s="27"/>
      <c r="L135" s="28" t="s">
        <v>6223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319</v>
      </c>
      <c r="C136" s="44" t="s">
        <v>320</v>
      </c>
      <c r="D136" s="42" t="s">
        <v>194</v>
      </c>
      <c r="E136" s="46">
        <v>46125</v>
      </c>
      <c r="F136" s="26" t="s">
        <v>6222</v>
      </c>
      <c r="G136" s="26" t="s">
        <v>6223</v>
      </c>
      <c r="H136" s="26" t="s">
        <v>6223</v>
      </c>
      <c r="I136" s="26" t="s">
        <v>6228</v>
      </c>
      <c r="J136" s="26" t="s">
        <v>6223</v>
      </c>
      <c r="K136" s="27"/>
      <c r="L136" s="28" t="s">
        <v>6224</v>
      </c>
      <c r="M136" s="29" t="str">
        <f t="shared" si="10"/>
        <v>⚠ Missing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321</v>
      </c>
      <c r="C137" s="25" t="s">
        <v>322</v>
      </c>
      <c r="D137" s="23" t="s">
        <v>194</v>
      </c>
      <c r="E137" s="46">
        <v>46125</v>
      </c>
      <c r="F137" s="26" t="s">
        <v>6222</v>
      </c>
      <c r="G137" s="26" t="s">
        <v>6224</v>
      </c>
      <c r="H137" s="26" t="s">
        <v>6223</v>
      </c>
      <c r="I137" s="26" t="s">
        <v>6225</v>
      </c>
      <c r="J137" s="26" t="s">
        <v>6223</v>
      </c>
      <c r="K137" s="27" t="s">
        <v>6231</v>
      </c>
      <c r="L137" s="28" t="s">
        <v>6224</v>
      </c>
      <c r="M137" s="29" t="str">
        <f t="shared" si="10"/>
        <v>⚠ Check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323</v>
      </c>
      <c r="C138" s="44" t="s">
        <v>324</v>
      </c>
      <c r="D138" s="42" t="s">
        <v>194</v>
      </c>
      <c r="E138" s="46">
        <v>46125</v>
      </c>
      <c r="F138" s="26" t="s">
        <v>6222</v>
      </c>
      <c r="G138" s="26" t="s">
        <v>6224</v>
      </c>
      <c r="H138" s="26" t="s">
        <v>6223</v>
      </c>
      <c r="I138" s="26" t="s">
        <v>6225</v>
      </c>
      <c r="J138" s="26" t="s">
        <v>6224</v>
      </c>
      <c r="K138" s="27"/>
      <c r="L138" s="28" t="s">
        <v>6223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325</v>
      </c>
      <c r="C139" s="25" t="s">
        <v>326</v>
      </c>
      <c r="D139" s="23" t="s">
        <v>194</v>
      </c>
      <c r="E139" s="46">
        <v>46125</v>
      </c>
      <c r="F139" s="26" t="s">
        <v>6222</v>
      </c>
      <c r="G139" s="26" t="s">
        <v>6224</v>
      </c>
      <c r="H139" s="26" t="s">
        <v>6223</v>
      </c>
      <c r="I139" s="26" t="s">
        <v>6225</v>
      </c>
      <c r="J139" s="26" t="s">
        <v>6224</v>
      </c>
      <c r="K139" s="27"/>
      <c r="L139" s="28" t="s">
        <v>6223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327</v>
      </c>
      <c r="C140" s="44" t="s">
        <v>328</v>
      </c>
      <c r="D140" s="42" t="s">
        <v>194</v>
      </c>
      <c r="E140" s="46">
        <v>46125</v>
      </c>
      <c r="F140" s="26" t="s">
        <v>6222</v>
      </c>
      <c r="G140" s="26" t="s">
        <v>6224</v>
      </c>
      <c r="H140" s="26" t="s">
        <v>6223</v>
      </c>
      <c r="I140" s="26" t="s">
        <v>6225</v>
      </c>
      <c r="J140" s="26" t="s">
        <v>6224</v>
      </c>
      <c r="K140" s="27" t="s">
        <v>6229</v>
      </c>
      <c r="L140" s="28" t="s">
        <v>6223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329</v>
      </c>
      <c r="C141" s="25" t="s">
        <v>330</v>
      </c>
      <c r="D141" s="23" t="s">
        <v>194</v>
      </c>
      <c r="E141" s="46">
        <v>46125</v>
      </c>
      <c r="F141" s="26" t="s">
        <v>6222</v>
      </c>
      <c r="G141" s="26" t="s">
        <v>6224</v>
      </c>
      <c r="H141" s="26" t="s">
        <v>6223</v>
      </c>
      <c r="I141" s="26" t="s">
        <v>6226</v>
      </c>
      <c r="J141" s="26" t="s">
        <v>6223</v>
      </c>
      <c r="K141" s="27" t="s">
        <v>6231</v>
      </c>
      <c r="L141" s="28" t="s">
        <v>6224</v>
      </c>
      <c r="M141" s="29" t="str">
        <f t="shared" si="10"/>
        <v>⚠ Check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331</v>
      </c>
      <c r="C142" s="44" t="s">
        <v>332</v>
      </c>
      <c r="D142" s="42" t="s">
        <v>194</v>
      </c>
      <c r="E142" s="46">
        <v>46125</v>
      </c>
      <c r="F142" s="26" t="s">
        <v>6222</v>
      </c>
      <c r="G142" s="26" t="s">
        <v>6224</v>
      </c>
      <c r="H142" s="26" t="s">
        <v>6223</v>
      </c>
      <c r="I142" s="26" t="s">
        <v>6225</v>
      </c>
      <c r="J142" s="26" t="s">
        <v>6224</v>
      </c>
      <c r="K142" s="27"/>
      <c r="L142" s="28" t="s">
        <v>6223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333</v>
      </c>
      <c r="C143" s="25" t="s">
        <v>334</v>
      </c>
      <c r="D143" s="23" t="s">
        <v>194</v>
      </c>
      <c r="E143" s="46">
        <v>46125</v>
      </c>
      <c r="F143" s="26" t="s">
        <v>6222</v>
      </c>
      <c r="G143" s="26" t="s">
        <v>6224</v>
      </c>
      <c r="H143" s="26" t="s">
        <v>6223</v>
      </c>
      <c r="I143" s="26" t="s">
        <v>6225</v>
      </c>
      <c r="J143" s="26" t="s">
        <v>6224</v>
      </c>
      <c r="K143" s="27" t="s">
        <v>6229</v>
      </c>
      <c r="L143" s="28" t="s">
        <v>6223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335</v>
      </c>
      <c r="C144" s="44" t="s">
        <v>336</v>
      </c>
      <c r="D144" s="42" t="s">
        <v>194</v>
      </c>
      <c r="E144" s="46">
        <v>46125</v>
      </c>
      <c r="F144" s="26" t="s">
        <v>6222</v>
      </c>
      <c r="G144" s="26" t="s">
        <v>6224</v>
      </c>
      <c r="H144" s="26" t="s">
        <v>6223</v>
      </c>
      <c r="I144" s="26" t="s">
        <v>6225</v>
      </c>
      <c r="J144" s="26" t="s">
        <v>6224</v>
      </c>
      <c r="K144" s="27" t="s">
        <v>6229</v>
      </c>
      <c r="L144" s="28" t="s">
        <v>6223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337</v>
      </c>
      <c r="C145" s="25" t="s">
        <v>338</v>
      </c>
      <c r="D145" s="23" t="s">
        <v>194</v>
      </c>
      <c r="E145" s="46">
        <v>46125</v>
      </c>
      <c r="F145" s="26" t="s">
        <v>6222</v>
      </c>
      <c r="G145" s="26" t="s">
        <v>6224</v>
      </c>
      <c r="H145" s="26" t="s">
        <v>6223</v>
      </c>
      <c r="I145" s="26" t="s">
        <v>6225</v>
      </c>
      <c r="J145" s="26" t="s">
        <v>6224</v>
      </c>
      <c r="K145" s="27"/>
      <c r="L145" s="28" t="s">
        <v>6223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339</v>
      </c>
      <c r="C146" s="44" t="s">
        <v>340</v>
      </c>
      <c r="D146" s="42" t="s">
        <v>194</v>
      </c>
      <c r="E146" s="46">
        <v>46125</v>
      </c>
      <c r="F146" s="26" t="s">
        <v>6222</v>
      </c>
      <c r="G146" s="26" t="s">
        <v>6224</v>
      </c>
      <c r="H146" s="26" t="s">
        <v>6223</v>
      </c>
      <c r="I146" s="26" t="s">
        <v>6225</v>
      </c>
      <c r="J146" s="26" t="s">
        <v>6224</v>
      </c>
      <c r="K146" s="27" t="s">
        <v>6229</v>
      </c>
      <c r="L146" s="28" t="s">
        <v>6223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341</v>
      </c>
      <c r="C147" s="25" t="s">
        <v>342</v>
      </c>
      <c r="D147" s="23" t="s">
        <v>194</v>
      </c>
      <c r="E147" s="46">
        <v>46125</v>
      </c>
      <c r="F147" s="26" t="s">
        <v>6222</v>
      </c>
      <c r="G147" s="26" t="s">
        <v>6224</v>
      </c>
      <c r="H147" s="26" t="s">
        <v>6223</v>
      </c>
      <c r="I147" s="26" t="s">
        <v>6225</v>
      </c>
      <c r="J147" s="26" t="s">
        <v>6224</v>
      </c>
      <c r="K147" s="27" t="s">
        <v>6229</v>
      </c>
      <c r="L147" s="28" t="s">
        <v>6223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343</v>
      </c>
      <c r="C148" s="44" t="s">
        <v>344</v>
      </c>
      <c r="D148" s="42" t="s">
        <v>194</v>
      </c>
      <c r="E148" s="46">
        <v>46125</v>
      </c>
      <c r="F148" s="26" t="s">
        <v>6222</v>
      </c>
      <c r="G148" s="26" t="s">
        <v>6224</v>
      </c>
      <c r="H148" s="26" t="s">
        <v>6223</v>
      </c>
      <c r="I148" s="26" t="s">
        <v>6225</v>
      </c>
      <c r="J148" s="26" t="s">
        <v>6224</v>
      </c>
      <c r="K148" s="27"/>
      <c r="L148" s="28" t="s">
        <v>6223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345</v>
      </c>
      <c r="C149" s="25" t="s">
        <v>346</v>
      </c>
      <c r="D149" s="23" t="s">
        <v>194</v>
      </c>
      <c r="E149" s="46">
        <v>46125</v>
      </c>
      <c r="F149" s="26" t="s">
        <v>6222</v>
      </c>
      <c r="G149" s="26" t="s">
        <v>6224</v>
      </c>
      <c r="H149" s="26" t="s">
        <v>6223</v>
      </c>
      <c r="I149" s="26" t="s">
        <v>6225</v>
      </c>
      <c r="J149" s="26" t="s">
        <v>6224</v>
      </c>
      <c r="K149" s="27" t="s">
        <v>6229</v>
      </c>
      <c r="L149" s="28" t="s">
        <v>6223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347</v>
      </c>
      <c r="C150" s="44" t="s">
        <v>348</v>
      </c>
      <c r="D150" s="42" t="s">
        <v>194</v>
      </c>
      <c r="E150" s="46">
        <v>46125</v>
      </c>
      <c r="F150" s="26" t="s">
        <v>6222</v>
      </c>
      <c r="G150" s="26" t="s">
        <v>6224</v>
      </c>
      <c r="H150" s="26" t="s">
        <v>6223</v>
      </c>
      <c r="I150" s="26" t="s">
        <v>6225</v>
      </c>
      <c r="J150" s="26" t="s">
        <v>6224</v>
      </c>
      <c r="K150" s="27" t="s">
        <v>6229</v>
      </c>
      <c r="L150" s="28" t="s">
        <v>6223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349</v>
      </c>
      <c r="C151" s="25" t="s">
        <v>350</v>
      </c>
      <c r="D151" s="23" t="s">
        <v>194</v>
      </c>
      <c r="E151" s="46">
        <v>46125</v>
      </c>
      <c r="F151" s="26" t="s">
        <v>6222</v>
      </c>
      <c r="G151" s="26" t="s">
        <v>6224</v>
      </c>
      <c r="H151" s="26" t="s">
        <v>6223</v>
      </c>
      <c r="I151" s="26" t="s">
        <v>6225</v>
      </c>
      <c r="J151" s="26" t="s">
        <v>6224</v>
      </c>
      <c r="K151" s="27" t="s">
        <v>6229</v>
      </c>
      <c r="L151" s="28" t="s">
        <v>6223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351</v>
      </c>
      <c r="C152" s="44" t="s">
        <v>352</v>
      </c>
      <c r="D152" s="42" t="s">
        <v>194</v>
      </c>
      <c r="E152" s="46">
        <v>46125</v>
      </c>
      <c r="F152" s="26" t="s">
        <v>6222</v>
      </c>
      <c r="G152" s="26" t="s">
        <v>6224</v>
      </c>
      <c r="H152" s="26" t="s">
        <v>6223</v>
      </c>
      <c r="I152" s="26" t="s">
        <v>6225</v>
      </c>
      <c r="J152" s="26" t="s">
        <v>6224</v>
      </c>
      <c r="K152" s="27" t="s">
        <v>6229</v>
      </c>
      <c r="L152" s="28" t="s">
        <v>6223</v>
      </c>
      <c r="M152" s="29" t="str">
        <f t="shared" ref="M152" si="15">IF(E152="","",IF(H152="Yes","❌ Disc",IF(G152="No","⚠ Missing",IF(J152="Yes","✓ OK","⚠ Check"))))</f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353</v>
      </c>
      <c r="C153" s="25" t="s">
        <v>354</v>
      </c>
      <c r="D153" s="23" t="s">
        <v>194</v>
      </c>
      <c r="E153" s="46">
        <v>46125</v>
      </c>
      <c r="F153" s="26" t="s">
        <v>6222</v>
      </c>
      <c r="G153" s="26" t="s">
        <v>6224</v>
      </c>
      <c r="H153" s="26" t="s">
        <v>6223</v>
      </c>
      <c r="I153" s="26" t="s">
        <v>6225</v>
      </c>
      <c r="J153" s="26" t="s">
        <v>6224</v>
      </c>
      <c r="K153" s="27"/>
      <c r="L153" s="28" t="s">
        <v>6223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355</v>
      </c>
      <c r="C154" s="44" t="s">
        <v>356</v>
      </c>
      <c r="D154" s="42" t="s">
        <v>194</v>
      </c>
      <c r="E154" s="46">
        <v>46125</v>
      </c>
      <c r="F154" s="26" t="s">
        <v>6222</v>
      </c>
      <c r="G154" s="26" t="s">
        <v>6224</v>
      </c>
      <c r="H154" s="26" t="s">
        <v>6223</v>
      </c>
      <c r="I154" s="26" t="s">
        <v>6225</v>
      </c>
      <c r="J154" s="26" t="s">
        <v>6224</v>
      </c>
      <c r="K154" s="27"/>
      <c r="L154" s="28" t="s">
        <v>6223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357</v>
      </c>
      <c r="C155" s="25" t="s">
        <v>358</v>
      </c>
      <c r="D155" s="23" t="s">
        <v>194</v>
      </c>
      <c r="E155" s="46">
        <v>46125</v>
      </c>
      <c r="F155" s="26" t="s">
        <v>6222</v>
      </c>
      <c r="G155" s="26" t="s">
        <v>6224</v>
      </c>
      <c r="H155" s="26" t="s">
        <v>6223</v>
      </c>
      <c r="I155" s="26" t="s">
        <v>6225</v>
      </c>
      <c r="J155" s="26" t="s">
        <v>6224</v>
      </c>
      <c r="K155" s="27"/>
      <c r="L155" s="28" t="s">
        <v>6223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359</v>
      </c>
      <c r="C156" s="44" t="s">
        <v>360</v>
      </c>
      <c r="D156" s="42" t="s">
        <v>194</v>
      </c>
      <c r="E156" s="46">
        <v>46125</v>
      </c>
      <c r="F156" s="26" t="s">
        <v>6222</v>
      </c>
      <c r="G156" s="26" t="s">
        <v>6224</v>
      </c>
      <c r="H156" s="26" t="s">
        <v>6223</v>
      </c>
      <c r="I156" s="26" t="s">
        <v>6225</v>
      </c>
      <c r="J156" s="26" t="s">
        <v>6224</v>
      </c>
      <c r="K156" s="27"/>
      <c r="L156" s="28" t="s">
        <v>6223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361</v>
      </c>
      <c r="C157" s="25" t="s">
        <v>362</v>
      </c>
      <c r="D157" s="23" t="s">
        <v>194</v>
      </c>
      <c r="E157" s="46">
        <v>46125</v>
      </c>
      <c r="F157" s="26" t="s">
        <v>6222</v>
      </c>
      <c r="G157" s="26" t="s">
        <v>6224</v>
      </c>
      <c r="H157" s="26" t="s">
        <v>6223</v>
      </c>
      <c r="I157" s="26" t="s">
        <v>6225</v>
      </c>
      <c r="J157" s="26" t="s">
        <v>6224</v>
      </c>
      <c r="K157" s="27"/>
      <c r="L157" s="28" t="s">
        <v>6223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363</v>
      </c>
      <c r="C158" s="44" t="s">
        <v>364</v>
      </c>
      <c r="D158" s="42" t="s">
        <v>194</v>
      </c>
      <c r="E158" s="46">
        <v>46125</v>
      </c>
      <c r="F158" s="26" t="s">
        <v>6222</v>
      </c>
      <c r="G158" s="26" t="s">
        <v>6224</v>
      </c>
      <c r="H158" s="26" t="s">
        <v>6223</v>
      </c>
      <c r="I158" s="26" t="s">
        <v>6225</v>
      </c>
      <c r="J158" s="26" t="s">
        <v>6224</v>
      </c>
      <c r="K158" s="27"/>
      <c r="L158" s="28" t="s">
        <v>6223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365</v>
      </c>
      <c r="C159" s="25" t="s">
        <v>366</v>
      </c>
      <c r="D159" s="23" t="s">
        <v>194</v>
      </c>
      <c r="E159" s="46">
        <v>46125</v>
      </c>
      <c r="F159" s="26" t="s">
        <v>6222</v>
      </c>
      <c r="G159" s="26" t="s">
        <v>6224</v>
      </c>
      <c r="H159" s="26" t="s">
        <v>6223</v>
      </c>
      <c r="I159" s="26" t="s">
        <v>6225</v>
      </c>
      <c r="J159" s="26" t="s">
        <v>6224</v>
      </c>
      <c r="K159" s="27"/>
      <c r="L159" s="28" t="s">
        <v>6223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367</v>
      </c>
      <c r="C160" s="44" t="s">
        <v>368</v>
      </c>
      <c r="D160" s="42" t="s">
        <v>194</v>
      </c>
      <c r="E160" s="46">
        <v>46125</v>
      </c>
      <c r="F160" s="26" t="s">
        <v>6222</v>
      </c>
      <c r="G160" s="26" t="s">
        <v>6224</v>
      </c>
      <c r="H160" s="26" t="s">
        <v>6223</v>
      </c>
      <c r="I160" s="26" t="s">
        <v>6225</v>
      </c>
      <c r="J160" s="26" t="s">
        <v>6224</v>
      </c>
      <c r="K160" s="27"/>
      <c r="L160" s="28" t="s">
        <v>6223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369</v>
      </c>
      <c r="C161" s="25" t="s">
        <v>370</v>
      </c>
      <c r="D161" s="23" t="s">
        <v>194</v>
      </c>
      <c r="E161" s="46">
        <v>46125</v>
      </c>
      <c r="F161" s="26" t="s">
        <v>6222</v>
      </c>
      <c r="G161" s="26" t="s">
        <v>6224</v>
      </c>
      <c r="H161" s="26" t="s">
        <v>6223</v>
      </c>
      <c r="I161" s="26" t="s">
        <v>6225</v>
      </c>
      <c r="J161" s="26" t="s">
        <v>6224</v>
      </c>
      <c r="K161" s="27"/>
      <c r="L161" s="28" t="s">
        <v>6223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371</v>
      </c>
      <c r="C162" s="44" t="s">
        <v>372</v>
      </c>
      <c r="D162" s="42" t="s">
        <v>194</v>
      </c>
      <c r="E162" s="46">
        <v>46125</v>
      </c>
      <c r="F162" s="26" t="s">
        <v>6222</v>
      </c>
      <c r="G162" s="26" t="s">
        <v>6224</v>
      </c>
      <c r="H162" s="26" t="s">
        <v>6223</v>
      </c>
      <c r="I162" s="26" t="s">
        <v>6225</v>
      </c>
      <c r="J162" s="26" t="s">
        <v>6224</v>
      </c>
      <c r="K162" s="27"/>
      <c r="L162" s="28" t="s">
        <v>6223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373</v>
      </c>
      <c r="C163" s="25" t="s">
        <v>374</v>
      </c>
      <c r="D163" s="23" t="s">
        <v>194</v>
      </c>
      <c r="E163" s="46">
        <v>46125</v>
      </c>
      <c r="F163" s="26" t="s">
        <v>6222</v>
      </c>
      <c r="G163" s="26" t="s">
        <v>6224</v>
      </c>
      <c r="H163" s="26" t="s">
        <v>6223</v>
      </c>
      <c r="I163" s="26" t="s">
        <v>6225</v>
      </c>
      <c r="J163" s="26" t="s">
        <v>6224</v>
      </c>
      <c r="K163" s="27"/>
      <c r="L163" s="28" t="s">
        <v>6223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375</v>
      </c>
      <c r="C164" s="44" t="s">
        <v>376</v>
      </c>
      <c r="D164" s="42" t="s">
        <v>194</v>
      </c>
      <c r="E164" s="46">
        <v>46125</v>
      </c>
      <c r="F164" s="26" t="s">
        <v>6222</v>
      </c>
      <c r="G164" s="26" t="s">
        <v>6224</v>
      </c>
      <c r="H164" s="26" t="s">
        <v>6223</v>
      </c>
      <c r="I164" s="26" t="s">
        <v>6225</v>
      </c>
      <c r="J164" s="26" t="s">
        <v>6224</v>
      </c>
      <c r="K164" s="27"/>
      <c r="L164" s="28" t="s">
        <v>6223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377</v>
      </c>
      <c r="C165" s="25" t="s">
        <v>378</v>
      </c>
      <c r="D165" s="23" t="s">
        <v>194</v>
      </c>
      <c r="E165" s="46">
        <v>46125</v>
      </c>
      <c r="F165" s="26" t="s">
        <v>6222</v>
      </c>
      <c r="G165" s="26" t="s">
        <v>6224</v>
      </c>
      <c r="H165" s="26" t="s">
        <v>6223</v>
      </c>
      <c r="I165" s="26" t="s">
        <v>6225</v>
      </c>
      <c r="J165" s="26" t="s">
        <v>6224</v>
      </c>
      <c r="K165" s="27"/>
      <c r="L165" s="28" t="s">
        <v>6223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379</v>
      </c>
      <c r="C166" s="44" t="s">
        <v>380</v>
      </c>
      <c r="D166" s="42" t="s">
        <v>194</v>
      </c>
      <c r="E166" s="46">
        <v>46125</v>
      </c>
      <c r="F166" s="26" t="s">
        <v>6222</v>
      </c>
      <c r="G166" s="26" t="s">
        <v>6224</v>
      </c>
      <c r="H166" s="26" t="s">
        <v>6223</v>
      </c>
      <c r="I166" s="26" t="s">
        <v>6225</v>
      </c>
      <c r="J166" s="26" t="s">
        <v>6224</v>
      </c>
      <c r="K166" s="27"/>
      <c r="L166" s="28" t="s">
        <v>6223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381</v>
      </c>
      <c r="C167" s="25" t="s">
        <v>382</v>
      </c>
      <c r="D167" s="23" t="s">
        <v>194</v>
      </c>
      <c r="E167" s="46">
        <v>46125</v>
      </c>
      <c r="F167" s="26" t="s">
        <v>6222</v>
      </c>
      <c r="G167" s="26" t="s">
        <v>6224</v>
      </c>
      <c r="H167" s="26" t="s">
        <v>6223</v>
      </c>
      <c r="I167" s="26" t="s">
        <v>6225</v>
      </c>
      <c r="J167" s="26" t="s">
        <v>6224</v>
      </c>
      <c r="K167" s="27"/>
      <c r="L167" s="28" t="s">
        <v>6223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383</v>
      </c>
      <c r="C168" s="44" t="s">
        <v>384</v>
      </c>
      <c r="D168" s="42" t="s">
        <v>194</v>
      </c>
      <c r="E168" s="46">
        <v>46125</v>
      </c>
      <c r="F168" s="26" t="s">
        <v>6222</v>
      </c>
      <c r="G168" s="26" t="s">
        <v>6224</v>
      </c>
      <c r="H168" s="26" t="s">
        <v>6223</v>
      </c>
      <c r="I168" s="26" t="s">
        <v>6226</v>
      </c>
      <c r="J168" s="26" t="s">
        <v>6223</v>
      </c>
      <c r="K168" s="27" t="s">
        <v>6231</v>
      </c>
      <c r="L168" s="28" t="s">
        <v>6224</v>
      </c>
      <c r="M168" s="29" t="str">
        <f t="shared" si="10"/>
        <v>⚠ Check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385</v>
      </c>
      <c r="C169" s="25" t="s">
        <v>386</v>
      </c>
      <c r="D169" s="23" t="s">
        <v>194</v>
      </c>
      <c r="E169" s="46">
        <v>46125</v>
      </c>
      <c r="F169" s="26" t="s">
        <v>6222</v>
      </c>
      <c r="G169" s="26" t="s">
        <v>6224</v>
      </c>
      <c r="H169" s="26" t="s">
        <v>6223</v>
      </c>
      <c r="I169" s="26" t="s">
        <v>6225</v>
      </c>
      <c r="J169" s="26" t="s">
        <v>6224</v>
      </c>
      <c r="K169" s="27"/>
      <c r="L169" s="28" t="s">
        <v>6223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387</v>
      </c>
      <c r="C170" s="44" t="s">
        <v>388</v>
      </c>
      <c r="D170" s="42" t="s">
        <v>194</v>
      </c>
      <c r="E170" s="46">
        <v>46125</v>
      </c>
      <c r="F170" s="26" t="s">
        <v>6222</v>
      </c>
      <c r="G170" s="26" t="s">
        <v>6224</v>
      </c>
      <c r="H170" s="26" t="s">
        <v>6223</v>
      </c>
      <c r="I170" s="26" t="s">
        <v>6225</v>
      </c>
      <c r="J170" s="26" t="s">
        <v>6224</v>
      </c>
      <c r="K170" s="27"/>
      <c r="L170" s="28" t="s">
        <v>6223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389</v>
      </c>
      <c r="C171" s="25" t="s">
        <v>390</v>
      </c>
      <c r="D171" s="23" t="s">
        <v>194</v>
      </c>
      <c r="E171" s="46">
        <v>46125</v>
      </c>
      <c r="F171" s="26" t="s">
        <v>6222</v>
      </c>
      <c r="G171" s="26" t="s">
        <v>6224</v>
      </c>
      <c r="H171" s="26" t="s">
        <v>6223</v>
      </c>
      <c r="I171" s="26" t="s">
        <v>6225</v>
      </c>
      <c r="J171" s="26" t="s">
        <v>6224</v>
      </c>
      <c r="K171" s="27"/>
      <c r="L171" s="28" t="s">
        <v>6223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391</v>
      </c>
      <c r="C172" s="44" t="s">
        <v>392</v>
      </c>
      <c r="D172" s="42" t="s">
        <v>194</v>
      </c>
      <c r="E172" s="46">
        <v>46125</v>
      </c>
      <c r="F172" s="26" t="s">
        <v>6222</v>
      </c>
      <c r="G172" s="26" t="s">
        <v>6224</v>
      </c>
      <c r="H172" s="26" t="s">
        <v>6223</v>
      </c>
      <c r="I172" s="26" t="s">
        <v>6226</v>
      </c>
      <c r="J172" s="26" t="s">
        <v>6223</v>
      </c>
      <c r="K172" s="27" t="s">
        <v>6231</v>
      </c>
      <c r="L172" s="28" t="s">
        <v>6224</v>
      </c>
      <c r="M172" s="29" t="str">
        <f t="shared" si="10"/>
        <v>⚠ Check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393</v>
      </c>
      <c r="C173" s="25" t="s">
        <v>394</v>
      </c>
      <c r="D173" s="23" t="s">
        <v>194</v>
      </c>
      <c r="E173" s="46">
        <v>46125</v>
      </c>
      <c r="F173" s="26" t="s">
        <v>6222</v>
      </c>
      <c r="G173" s="26" t="s">
        <v>6224</v>
      </c>
      <c r="H173" s="26" t="s">
        <v>6223</v>
      </c>
      <c r="I173" s="26" t="s">
        <v>6226</v>
      </c>
      <c r="J173" s="26" t="s">
        <v>6223</v>
      </c>
      <c r="K173" s="27" t="s">
        <v>6231</v>
      </c>
      <c r="L173" s="28" t="s">
        <v>6224</v>
      </c>
      <c r="M173" s="29" t="str">
        <f t="shared" si="10"/>
        <v>⚠ Check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395</v>
      </c>
      <c r="C174" s="44" t="s">
        <v>396</v>
      </c>
      <c r="D174" s="42" t="s">
        <v>194</v>
      </c>
      <c r="E174" s="46">
        <v>46125</v>
      </c>
      <c r="F174" s="26" t="s">
        <v>6222</v>
      </c>
      <c r="G174" s="26" t="s">
        <v>6224</v>
      </c>
      <c r="H174" s="26" t="s">
        <v>6223</v>
      </c>
      <c r="I174" s="26" t="s">
        <v>6225</v>
      </c>
      <c r="J174" s="26" t="s">
        <v>6224</v>
      </c>
      <c r="K174" s="27"/>
      <c r="L174" s="28" t="s">
        <v>6223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397</v>
      </c>
      <c r="C175" s="25" t="s">
        <v>398</v>
      </c>
      <c r="D175" s="23" t="s">
        <v>194</v>
      </c>
      <c r="E175" s="46">
        <v>46125</v>
      </c>
      <c r="F175" s="26" t="s">
        <v>6222</v>
      </c>
      <c r="G175" s="26" t="s">
        <v>6224</v>
      </c>
      <c r="H175" s="26" t="s">
        <v>6223</v>
      </c>
      <c r="I175" s="26" t="s">
        <v>6225</v>
      </c>
      <c r="J175" s="26" t="s">
        <v>6224</v>
      </c>
      <c r="K175" s="27"/>
      <c r="L175" s="28" t="s">
        <v>6223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399</v>
      </c>
      <c r="C176" s="44" t="s">
        <v>400</v>
      </c>
      <c r="D176" s="42" t="s">
        <v>194</v>
      </c>
      <c r="E176" s="46">
        <v>46125</v>
      </c>
      <c r="F176" s="26" t="s">
        <v>6222</v>
      </c>
      <c r="G176" s="26" t="s">
        <v>6224</v>
      </c>
      <c r="H176" s="26" t="s">
        <v>6223</v>
      </c>
      <c r="I176" s="26" t="s">
        <v>6225</v>
      </c>
      <c r="J176" s="26" t="s">
        <v>6224</v>
      </c>
      <c r="K176" s="27"/>
      <c r="L176" s="28" t="s">
        <v>6223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401</v>
      </c>
      <c r="C177" s="25" t="s">
        <v>402</v>
      </c>
      <c r="D177" s="23" t="s">
        <v>194</v>
      </c>
      <c r="E177" s="46">
        <v>46125</v>
      </c>
      <c r="F177" s="26" t="s">
        <v>6222</v>
      </c>
      <c r="G177" s="26" t="s">
        <v>6224</v>
      </c>
      <c r="H177" s="26" t="s">
        <v>6223</v>
      </c>
      <c r="I177" s="26" t="s">
        <v>6225</v>
      </c>
      <c r="J177" s="26" t="s">
        <v>6224</v>
      </c>
      <c r="K177" s="27"/>
      <c r="L177" s="28" t="s">
        <v>6223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403</v>
      </c>
      <c r="C178" s="44" t="s">
        <v>404</v>
      </c>
      <c r="D178" s="42" t="s">
        <v>194</v>
      </c>
      <c r="E178" s="46">
        <v>46125</v>
      </c>
      <c r="F178" s="26" t="s">
        <v>6222</v>
      </c>
      <c r="G178" s="26" t="s">
        <v>6224</v>
      </c>
      <c r="H178" s="26" t="s">
        <v>6223</v>
      </c>
      <c r="I178" s="26" t="s">
        <v>6225</v>
      </c>
      <c r="J178" s="26" t="s">
        <v>6224</v>
      </c>
      <c r="K178" s="27"/>
      <c r="L178" s="28" t="s">
        <v>6223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405</v>
      </c>
      <c r="C179" s="25" t="s">
        <v>406</v>
      </c>
      <c r="D179" s="23" t="s">
        <v>194</v>
      </c>
      <c r="E179" s="46">
        <v>46125</v>
      </c>
      <c r="F179" s="26" t="s">
        <v>6222</v>
      </c>
      <c r="G179" s="26" t="s">
        <v>6224</v>
      </c>
      <c r="H179" s="26" t="s">
        <v>6223</v>
      </c>
      <c r="I179" s="26" t="s">
        <v>6225</v>
      </c>
      <c r="J179" s="26" t="s">
        <v>6224</v>
      </c>
      <c r="K179" s="27" t="s">
        <v>6229</v>
      </c>
      <c r="L179" s="28" t="s">
        <v>6223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407</v>
      </c>
      <c r="C180" s="44" t="s">
        <v>408</v>
      </c>
      <c r="D180" s="42" t="s">
        <v>194</v>
      </c>
      <c r="E180" s="46">
        <v>46125</v>
      </c>
      <c r="F180" s="26" t="s">
        <v>6222</v>
      </c>
      <c r="G180" s="26" t="s">
        <v>6224</v>
      </c>
      <c r="H180" s="26" t="s">
        <v>6223</v>
      </c>
      <c r="I180" s="26" t="s">
        <v>6225</v>
      </c>
      <c r="J180" s="26" t="s">
        <v>6224</v>
      </c>
      <c r="K180" s="27" t="s">
        <v>6229</v>
      </c>
      <c r="L180" s="28" t="s">
        <v>6223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409</v>
      </c>
      <c r="C181" s="25" t="s">
        <v>410</v>
      </c>
      <c r="D181" s="23" t="s">
        <v>194</v>
      </c>
      <c r="E181" s="46">
        <v>46125</v>
      </c>
      <c r="F181" s="26" t="s">
        <v>6222</v>
      </c>
      <c r="G181" s="26" t="s">
        <v>6224</v>
      </c>
      <c r="H181" s="26" t="s">
        <v>6223</v>
      </c>
      <c r="I181" s="26" t="s">
        <v>6225</v>
      </c>
      <c r="J181" s="26" t="s">
        <v>6224</v>
      </c>
      <c r="K181" s="27"/>
      <c r="L181" s="28" t="s">
        <v>6223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411</v>
      </c>
      <c r="C182" s="44" t="s">
        <v>412</v>
      </c>
      <c r="D182" s="42" t="s">
        <v>194</v>
      </c>
      <c r="E182" s="46">
        <v>46125</v>
      </c>
      <c r="F182" s="26" t="s">
        <v>6222</v>
      </c>
      <c r="G182" s="26" t="s">
        <v>6224</v>
      </c>
      <c r="H182" s="26" t="s">
        <v>6223</v>
      </c>
      <c r="I182" s="26" t="s">
        <v>6225</v>
      </c>
      <c r="J182" s="26" t="s">
        <v>6224</v>
      </c>
      <c r="K182" s="27" t="s">
        <v>6229</v>
      </c>
      <c r="L182" s="28" t="s">
        <v>6223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413</v>
      </c>
      <c r="C183" s="25" t="s">
        <v>414</v>
      </c>
      <c r="D183" s="23" t="s">
        <v>194</v>
      </c>
      <c r="E183" s="46">
        <v>46125</v>
      </c>
      <c r="F183" s="26" t="s">
        <v>6222</v>
      </c>
      <c r="G183" s="26" t="s">
        <v>6224</v>
      </c>
      <c r="H183" s="26" t="s">
        <v>6223</v>
      </c>
      <c r="I183" s="26" t="s">
        <v>6225</v>
      </c>
      <c r="J183" s="26" t="s">
        <v>6224</v>
      </c>
      <c r="K183" s="27"/>
      <c r="L183" s="28" t="s">
        <v>6223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415</v>
      </c>
      <c r="C184" s="44" t="s">
        <v>416</v>
      </c>
      <c r="D184" s="42" t="s">
        <v>194</v>
      </c>
      <c r="E184" s="46">
        <v>46125</v>
      </c>
      <c r="F184" s="26" t="s">
        <v>6222</v>
      </c>
      <c r="G184" s="26" t="s">
        <v>6224</v>
      </c>
      <c r="H184" s="26" t="s">
        <v>6223</v>
      </c>
      <c r="I184" s="26" t="s">
        <v>6225</v>
      </c>
      <c r="J184" s="26" t="s">
        <v>6224</v>
      </c>
      <c r="K184" s="27" t="s">
        <v>6229</v>
      </c>
      <c r="L184" s="28" t="s">
        <v>6223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417</v>
      </c>
      <c r="C185" s="25" t="s">
        <v>418</v>
      </c>
      <c r="D185" s="23" t="s">
        <v>194</v>
      </c>
      <c r="E185" s="46">
        <v>46125</v>
      </c>
      <c r="F185" s="26" t="s">
        <v>6222</v>
      </c>
      <c r="G185" s="26" t="s">
        <v>6224</v>
      </c>
      <c r="H185" s="26" t="s">
        <v>6223</v>
      </c>
      <c r="I185" s="26" t="s">
        <v>6225</v>
      </c>
      <c r="J185" s="26" t="s">
        <v>6224</v>
      </c>
      <c r="K185" s="27"/>
      <c r="L185" s="28" t="s">
        <v>6223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419</v>
      </c>
      <c r="C186" s="44" t="s">
        <v>420</v>
      </c>
      <c r="D186" s="42" t="s">
        <v>194</v>
      </c>
      <c r="E186" s="46">
        <v>46125</v>
      </c>
      <c r="F186" s="26" t="s">
        <v>6222</v>
      </c>
      <c r="G186" s="26" t="s">
        <v>6224</v>
      </c>
      <c r="H186" s="26" t="s">
        <v>6223</v>
      </c>
      <c r="I186" s="26" t="s">
        <v>6225</v>
      </c>
      <c r="J186" s="26" t="s">
        <v>6224</v>
      </c>
      <c r="K186" s="27"/>
      <c r="L186" s="28" t="s">
        <v>6223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421</v>
      </c>
      <c r="C187" s="25" t="s">
        <v>422</v>
      </c>
      <c r="D187" s="23" t="s">
        <v>194</v>
      </c>
      <c r="E187" s="46">
        <v>46125</v>
      </c>
      <c r="F187" s="26" t="s">
        <v>6222</v>
      </c>
      <c r="G187" s="26" t="s">
        <v>6224</v>
      </c>
      <c r="H187" s="26" t="s">
        <v>6223</v>
      </c>
      <c r="I187" s="26" t="s">
        <v>6226</v>
      </c>
      <c r="J187" s="26" t="s">
        <v>6223</v>
      </c>
      <c r="K187" s="27" t="s">
        <v>6231</v>
      </c>
      <c r="L187" s="28" t="s">
        <v>6224</v>
      </c>
      <c r="M187" s="29" t="str">
        <f t="shared" si="10"/>
        <v>⚠ Check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423</v>
      </c>
      <c r="C188" s="44" t="s">
        <v>424</v>
      </c>
      <c r="D188" s="42" t="s">
        <v>194</v>
      </c>
      <c r="E188" s="46">
        <v>46125</v>
      </c>
      <c r="F188" s="26" t="s">
        <v>6222</v>
      </c>
      <c r="G188" s="26" t="s">
        <v>6224</v>
      </c>
      <c r="H188" s="26" t="s">
        <v>6223</v>
      </c>
      <c r="I188" s="26" t="s">
        <v>6225</v>
      </c>
      <c r="J188" s="26" t="s">
        <v>6224</v>
      </c>
      <c r="K188" s="27"/>
      <c r="L188" s="28" t="s">
        <v>6223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425</v>
      </c>
      <c r="C189" s="25" t="s">
        <v>426</v>
      </c>
      <c r="D189" s="23" t="s">
        <v>194</v>
      </c>
      <c r="E189" s="46">
        <v>46125</v>
      </c>
      <c r="F189" s="26" t="s">
        <v>6222</v>
      </c>
      <c r="G189" s="26" t="s">
        <v>6224</v>
      </c>
      <c r="H189" s="26" t="s">
        <v>6223</v>
      </c>
      <c r="I189" s="26" t="s">
        <v>6225</v>
      </c>
      <c r="J189" s="26" t="s">
        <v>6224</v>
      </c>
      <c r="K189" s="27"/>
      <c r="L189" s="28" t="s">
        <v>6223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427</v>
      </c>
      <c r="C190" s="44" t="s">
        <v>428</v>
      </c>
      <c r="D190" s="42" t="s">
        <v>194</v>
      </c>
      <c r="E190" s="46">
        <v>46125</v>
      </c>
      <c r="F190" s="26" t="s">
        <v>6222</v>
      </c>
      <c r="G190" s="26" t="s">
        <v>6224</v>
      </c>
      <c r="H190" s="26" t="s">
        <v>6223</v>
      </c>
      <c r="I190" s="26" t="s">
        <v>6225</v>
      </c>
      <c r="J190" s="26" t="s">
        <v>6224</v>
      </c>
      <c r="K190" s="27"/>
      <c r="L190" s="28" t="s">
        <v>6223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429</v>
      </c>
      <c r="C191" s="25" t="s">
        <v>430</v>
      </c>
      <c r="D191" s="23" t="s">
        <v>194</v>
      </c>
      <c r="E191" s="46">
        <v>46125</v>
      </c>
      <c r="F191" s="26" t="s">
        <v>6222</v>
      </c>
      <c r="G191" s="26" t="s">
        <v>6224</v>
      </c>
      <c r="H191" s="26" t="s">
        <v>6223</v>
      </c>
      <c r="I191" s="26" t="s">
        <v>6225</v>
      </c>
      <c r="J191" s="26" t="s">
        <v>6224</v>
      </c>
      <c r="K191" s="27" t="s">
        <v>6229</v>
      </c>
      <c r="L191" s="28" t="s">
        <v>6223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431</v>
      </c>
      <c r="C192" s="44" t="s">
        <v>432</v>
      </c>
      <c r="D192" s="42" t="s">
        <v>194</v>
      </c>
      <c r="E192" s="46">
        <v>46125</v>
      </c>
      <c r="F192" s="26" t="s">
        <v>6222</v>
      </c>
      <c r="G192" s="26" t="s">
        <v>6224</v>
      </c>
      <c r="H192" s="26" t="s">
        <v>6223</v>
      </c>
      <c r="I192" s="26" t="s">
        <v>6226</v>
      </c>
      <c r="J192" s="26" t="s">
        <v>6223</v>
      </c>
      <c r="K192" s="27" t="s">
        <v>6230</v>
      </c>
      <c r="L192" s="28" t="s">
        <v>6224</v>
      </c>
      <c r="M192" s="29" t="str">
        <f t="shared" si="10"/>
        <v>⚠ Check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433</v>
      </c>
      <c r="C193" s="25" t="s">
        <v>434</v>
      </c>
      <c r="D193" s="23" t="s">
        <v>194</v>
      </c>
      <c r="E193" s="46">
        <v>46125</v>
      </c>
      <c r="F193" s="26" t="s">
        <v>6222</v>
      </c>
      <c r="G193" s="26" t="s">
        <v>6224</v>
      </c>
      <c r="H193" s="26" t="s">
        <v>6223</v>
      </c>
      <c r="I193" s="26" t="s">
        <v>6225</v>
      </c>
      <c r="J193" s="26" t="s">
        <v>6224</v>
      </c>
      <c r="K193" s="27" t="s">
        <v>6229</v>
      </c>
      <c r="L193" s="28" t="s">
        <v>6223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435</v>
      </c>
      <c r="C194" s="44" t="s">
        <v>436</v>
      </c>
      <c r="D194" s="42" t="s">
        <v>194</v>
      </c>
      <c r="E194" s="46">
        <v>46125</v>
      </c>
      <c r="F194" s="26" t="s">
        <v>6222</v>
      </c>
      <c r="G194" s="26" t="s">
        <v>6224</v>
      </c>
      <c r="H194" s="26" t="s">
        <v>6223</v>
      </c>
      <c r="I194" s="26" t="s">
        <v>6225</v>
      </c>
      <c r="J194" s="26" t="s">
        <v>6224</v>
      </c>
      <c r="K194" s="27"/>
      <c r="L194" s="28" t="s">
        <v>6223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437</v>
      </c>
      <c r="C195" s="25" t="s">
        <v>438</v>
      </c>
      <c r="D195" s="23" t="s">
        <v>194</v>
      </c>
      <c r="E195" s="46">
        <v>46125</v>
      </c>
      <c r="F195" s="26" t="s">
        <v>6222</v>
      </c>
      <c r="G195" s="26" t="s">
        <v>6224</v>
      </c>
      <c r="H195" s="26" t="s">
        <v>6223</v>
      </c>
      <c r="I195" s="26" t="s">
        <v>6226</v>
      </c>
      <c r="J195" s="26" t="s">
        <v>6223</v>
      </c>
      <c r="K195" s="27" t="s">
        <v>6230</v>
      </c>
      <c r="L195" s="28" t="s">
        <v>6224</v>
      </c>
      <c r="M195" s="29" t="str">
        <f t="shared" si="10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439</v>
      </c>
      <c r="C196" s="44" t="s">
        <v>440</v>
      </c>
      <c r="D196" s="42" t="s">
        <v>194</v>
      </c>
      <c r="E196" s="46">
        <v>46125</v>
      </c>
      <c r="F196" s="26" t="s">
        <v>6222</v>
      </c>
      <c r="G196" s="26" t="s">
        <v>6224</v>
      </c>
      <c r="H196" s="26" t="s">
        <v>6223</v>
      </c>
      <c r="I196" s="26" t="s">
        <v>6225</v>
      </c>
      <c r="J196" s="26" t="s">
        <v>6224</v>
      </c>
      <c r="K196" s="27" t="s">
        <v>6229</v>
      </c>
      <c r="L196" s="28" t="s">
        <v>6223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441</v>
      </c>
      <c r="C197" s="25" t="s">
        <v>442</v>
      </c>
      <c r="D197" s="23" t="s">
        <v>194</v>
      </c>
      <c r="E197" s="46">
        <v>46125</v>
      </c>
      <c r="F197" s="26" t="s">
        <v>6222</v>
      </c>
      <c r="G197" s="26" t="s">
        <v>6224</v>
      </c>
      <c r="H197" s="26" t="s">
        <v>6223</v>
      </c>
      <c r="I197" s="26" t="s">
        <v>6225</v>
      </c>
      <c r="J197" s="26" t="s">
        <v>6224</v>
      </c>
      <c r="K197" s="27" t="s">
        <v>6229</v>
      </c>
      <c r="L197" s="28" t="s">
        <v>6223</v>
      </c>
      <c r="M197" s="29" t="str">
        <f t="shared" ref="M197:M260" si="16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7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8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9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20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443</v>
      </c>
      <c r="C198" s="44" t="s">
        <v>444</v>
      </c>
      <c r="D198" s="42" t="s">
        <v>194</v>
      </c>
      <c r="E198" s="46">
        <v>46125</v>
      </c>
      <c r="F198" s="26" t="s">
        <v>6222</v>
      </c>
      <c r="G198" s="26" t="s">
        <v>6224</v>
      </c>
      <c r="H198" s="26" t="s">
        <v>6223</v>
      </c>
      <c r="I198" s="26" t="s">
        <v>6225</v>
      </c>
      <c r="J198" s="26" t="s">
        <v>6224</v>
      </c>
      <c r="K198" s="27"/>
      <c r="L198" s="28" t="s">
        <v>6223</v>
      </c>
      <c r="M198" s="29" t="str">
        <f t="shared" si="16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7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8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9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0"/>
        <v/>
      </c>
    </row>
    <row r="199" spans="1:49" ht="18" customHeight="1" x14ac:dyDescent="0.3">
      <c r="A199" s="23">
        <v>195</v>
      </c>
      <c r="B199" s="24" t="s">
        <v>445</v>
      </c>
      <c r="C199" s="25" t="s">
        <v>446</v>
      </c>
      <c r="D199" s="23" t="s">
        <v>194</v>
      </c>
      <c r="E199" s="46">
        <v>46125</v>
      </c>
      <c r="F199" s="26" t="s">
        <v>6222</v>
      </c>
      <c r="G199" s="26" t="s">
        <v>6224</v>
      </c>
      <c r="H199" s="26" t="s">
        <v>6223</v>
      </c>
      <c r="I199" s="26" t="s">
        <v>6226</v>
      </c>
      <c r="J199" s="26" t="s">
        <v>6223</v>
      </c>
      <c r="K199" s="27" t="s">
        <v>6231</v>
      </c>
      <c r="L199" s="28" t="s">
        <v>6224</v>
      </c>
      <c r="M199" s="29" t="str">
        <f t="shared" si="16"/>
        <v>⚠ Check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7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8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9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0"/>
        <v/>
      </c>
    </row>
    <row r="200" spans="1:49" ht="18" customHeight="1" x14ac:dyDescent="0.3">
      <c r="A200" s="42">
        <v>196</v>
      </c>
      <c r="B200" s="43" t="s">
        <v>447</v>
      </c>
      <c r="C200" s="44" t="s">
        <v>448</v>
      </c>
      <c r="D200" s="42" t="s">
        <v>194</v>
      </c>
      <c r="E200" s="46">
        <v>46125</v>
      </c>
      <c r="F200" s="26" t="s">
        <v>6222</v>
      </c>
      <c r="G200" s="26" t="s">
        <v>6224</v>
      </c>
      <c r="H200" s="26" t="s">
        <v>6223</v>
      </c>
      <c r="I200" s="26" t="s">
        <v>6225</v>
      </c>
      <c r="J200" s="26" t="s">
        <v>6224</v>
      </c>
      <c r="K200" s="27"/>
      <c r="L200" s="28" t="s">
        <v>6223</v>
      </c>
      <c r="M200" s="29" t="str">
        <f t="shared" si="16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7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8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9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0"/>
        <v/>
      </c>
    </row>
    <row r="201" spans="1:49" ht="18" customHeight="1" x14ac:dyDescent="0.3">
      <c r="A201" s="23">
        <v>197</v>
      </c>
      <c r="B201" s="24" t="s">
        <v>449</v>
      </c>
      <c r="C201" s="25" t="s">
        <v>450</v>
      </c>
      <c r="D201" s="23" t="s">
        <v>194</v>
      </c>
      <c r="E201" s="46">
        <v>46125</v>
      </c>
      <c r="F201" s="26" t="s">
        <v>6222</v>
      </c>
      <c r="G201" s="26" t="s">
        <v>6224</v>
      </c>
      <c r="H201" s="26" t="s">
        <v>6223</v>
      </c>
      <c r="I201" s="26" t="s">
        <v>6225</v>
      </c>
      <c r="J201" s="26" t="s">
        <v>6224</v>
      </c>
      <c r="K201" s="27"/>
      <c r="L201" s="28" t="s">
        <v>6223</v>
      </c>
      <c r="M201" s="29" t="str">
        <f t="shared" si="16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7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8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9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0"/>
        <v/>
      </c>
    </row>
    <row r="202" spans="1:49" ht="18" customHeight="1" x14ac:dyDescent="0.3">
      <c r="A202" s="42">
        <v>198</v>
      </c>
      <c r="B202" s="43" t="s">
        <v>451</v>
      </c>
      <c r="C202" s="44" t="s">
        <v>452</v>
      </c>
      <c r="D202" s="42" t="s">
        <v>194</v>
      </c>
      <c r="E202" s="46">
        <v>46125</v>
      </c>
      <c r="F202" s="26" t="s">
        <v>6222</v>
      </c>
      <c r="G202" s="26" t="s">
        <v>6224</v>
      </c>
      <c r="H202" s="26" t="s">
        <v>6223</v>
      </c>
      <c r="I202" s="26" t="s">
        <v>6225</v>
      </c>
      <c r="J202" s="26" t="s">
        <v>6224</v>
      </c>
      <c r="K202" s="27"/>
      <c r="L202" s="28" t="s">
        <v>6223</v>
      </c>
      <c r="M202" s="29" t="str">
        <f t="shared" si="16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7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8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9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0"/>
        <v/>
      </c>
    </row>
    <row r="203" spans="1:49" ht="18" customHeight="1" x14ac:dyDescent="0.3">
      <c r="A203" s="23">
        <v>199</v>
      </c>
      <c r="B203" s="24" t="s">
        <v>453</v>
      </c>
      <c r="C203" s="25" t="s">
        <v>454</v>
      </c>
      <c r="D203" s="23" t="s">
        <v>194</v>
      </c>
      <c r="E203" s="46">
        <v>46125</v>
      </c>
      <c r="F203" s="26" t="s">
        <v>6222</v>
      </c>
      <c r="G203" s="26" t="s">
        <v>6224</v>
      </c>
      <c r="H203" s="26" t="s">
        <v>6223</v>
      </c>
      <c r="I203" s="26" t="s">
        <v>6226</v>
      </c>
      <c r="J203" s="26" t="s">
        <v>6223</v>
      </c>
      <c r="K203" s="27" t="s">
        <v>6231</v>
      </c>
      <c r="L203" s="28" t="s">
        <v>6224</v>
      </c>
      <c r="M203" s="29" t="str">
        <f t="shared" si="16"/>
        <v>⚠ Check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7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8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9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0"/>
        <v/>
      </c>
    </row>
    <row r="204" spans="1:49" ht="18" customHeight="1" x14ac:dyDescent="0.3">
      <c r="A204" s="42">
        <v>200</v>
      </c>
      <c r="B204" s="43" t="s">
        <v>455</v>
      </c>
      <c r="C204" s="44" t="s">
        <v>456</v>
      </c>
      <c r="D204" s="42" t="s">
        <v>194</v>
      </c>
      <c r="E204" s="46">
        <v>46125</v>
      </c>
      <c r="F204" s="26" t="s">
        <v>6222</v>
      </c>
      <c r="G204" s="26" t="s">
        <v>6224</v>
      </c>
      <c r="H204" s="26" t="s">
        <v>6223</v>
      </c>
      <c r="I204" s="26" t="s">
        <v>6225</v>
      </c>
      <c r="J204" s="26" t="s">
        <v>6224</v>
      </c>
      <c r="K204" s="27"/>
      <c r="L204" s="28" t="s">
        <v>6223</v>
      </c>
      <c r="M204" s="29" t="str">
        <f t="shared" si="16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7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8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9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0"/>
        <v/>
      </c>
    </row>
    <row r="205" spans="1:49" ht="18" customHeight="1" x14ac:dyDescent="0.3">
      <c r="A205" s="23">
        <v>201</v>
      </c>
      <c r="B205" s="24" t="s">
        <v>457</v>
      </c>
      <c r="C205" s="25" t="s">
        <v>458</v>
      </c>
      <c r="D205" s="23" t="s">
        <v>194</v>
      </c>
      <c r="E205" s="46">
        <v>46125</v>
      </c>
      <c r="F205" s="26" t="s">
        <v>6222</v>
      </c>
      <c r="G205" s="26" t="s">
        <v>6224</v>
      </c>
      <c r="H205" s="26" t="s">
        <v>6223</v>
      </c>
      <c r="I205" s="26" t="s">
        <v>6225</v>
      </c>
      <c r="J205" s="26" t="s">
        <v>6224</v>
      </c>
      <c r="K205" s="27"/>
      <c r="L205" s="28" t="s">
        <v>6223</v>
      </c>
      <c r="M205" s="29" t="str">
        <f t="shared" si="16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7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8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9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0"/>
        <v/>
      </c>
    </row>
    <row r="206" spans="1:49" ht="18" customHeight="1" x14ac:dyDescent="0.3">
      <c r="A206" s="42">
        <v>202</v>
      </c>
      <c r="B206" s="43" t="s">
        <v>459</v>
      </c>
      <c r="C206" s="44" t="s">
        <v>460</v>
      </c>
      <c r="D206" s="42" t="s">
        <v>194</v>
      </c>
      <c r="E206" s="46">
        <v>46125</v>
      </c>
      <c r="F206" s="26" t="s">
        <v>6222</v>
      </c>
      <c r="G206" s="26" t="s">
        <v>6224</v>
      </c>
      <c r="H206" s="26" t="s">
        <v>6223</v>
      </c>
      <c r="I206" s="26" t="s">
        <v>6225</v>
      </c>
      <c r="J206" s="26" t="s">
        <v>6224</v>
      </c>
      <c r="K206" s="27"/>
      <c r="L206" s="28" t="s">
        <v>6223</v>
      </c>
      <c r="M206" s="29" t="str">
        <f t="shared" si="16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7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8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9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0"/>
        <v/>
      </c>
    </row>
    <row r="207" spans="1:49" ht="18" customHeight="1" x14ac:dyDescent="0.3">
      <c r="A207" s="23">
        <v>203</v>
      </c>
      <c r="B207" s="24" t="s">
        <v>461</v>
      </c>
      <c r="C207" s="25" t="s">
        <v>462</v>
      </c>
      <c r="D207" s="23" t="s">
        <v>194</v>
      </c>
      <c r="E207" s="46">
        <v>46125</v>
      </c>
      <c r="F207" s="26" t="s">
        <v>6222</v>
      </c>
      <c r="G207" s="26" t="s">
        <v>6224</v>
      </c>
      <c r="H207" s="26" t="s">
        <v>6223</v>
      </c>
      <c r="I207" s="26" t="s">
        <v>6225</v>
      </c>
      <c r="J207" s="26" t="s">
        <v>6224</v>
      </c>
      <c r="K207" s="27"/>
      <c r="L207" s="28" t="s">
        <v>6223</v>
      </c>
      <c r="M207" s="29" t="str">
        <f t="shared" si="16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7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8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9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0"/>
        <v/>
      </c>
    </row>
    <row r="208" spans="1:49" ht="18" customHeight="1" x14ac:dyDescent="0.3">
      <c r="A208" s="42">
        <v>204</v>
      </c>
      <c r="B208" s="43" t="s">
        <v>463</v>
      </c>
      <c r="C208" s="44" t="s">
        <v>464</v>
      </c>
      <c r="D208" s="42" t="s">
        <v>194</v>
      </c>
      <c r="E208" s="46">
        <v>46125</v>
      </c>
      <c r="F208" s="26" t="s">
        <v>6222</v>
      </c>
      <c r="G208" s="26" t="s">
        <v>6224</v>
      </c>
      <c r="H208" s="26" t="s">
        <v>6223</v>
      </c>
      <c r="I208" s="26" t="s">
        <v>6225</v>
      </c>
      <c r="J208" s="26" t="s">
        <v>6224</v>
      </c>
      <c r="K208" s="27"/>
      <c r="L208" s="28" t="s">
        <v>6223</v>
      </c>
      <c r="M208" s="29" t="str">
        <f t="shared" si="16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7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8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9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0"/>
        <v/>
      </c>
    </row>
    <row r="209" spans="1:49" ht="18" customHeight="1" x14ac:dyDescent="0.3">
      <c r="A209" s="23">
        <v>205</v>
      </c>
      <c r="B209" s="24" t="s">
        <v>465</v>
      </c>
      <c r="C209" s="25" t="s">
        <v>466</v>
      </c>
      <c r="D209" s="23" t="s">
        <v>194</v>
      </c>
      <c r="E209" s="46">
        <v>46125</v>
      </c>
      <c r="F209" s="26" t="s">
        <v>6222</v>
      </c>
      <c r="G209" s="26" t="s">
        <v>6224</v>
      </c>
      <c r="H209" s="26" t="s">
        <v>6223</v>
      </c>
      <c r="I209" s="26" t="s">
        <v>6225</v>
      </c>
      <c r="J209" s="26" t="s">
        <v>6224</v>
      </c>
      <c r="K209" s="27"/>
      <c r="L209" s="28" t="s">
        <v>6223</v>
      </c>
      <c r="M209" s="29" t="str">
        <f t="shared" si="16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7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8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9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0"/>
        <v/>
      </c>
    </row>
    <row r="210" spans="1:49" ht="18" customHeight="1" x14ac:dyDescent="0.3">
      <c r="A210" s="42">
        <v>206</v>
      </c>
      <c r="B210" s="43" t="s">
        <v>467</v>
      </c>
      <c r="C210" s="44" t="s">
        <v>468</v>
      </c>
      <c r="D210" s="42" t="s">
        <v>194</v>
      </c>
      <c r="E210" s="46">
        <v>46125</v>
      </c>
      <c r="F210" s="26" t="s">
        <v>6222</v>
      </c>
      <c r="G210" s="26" t="s">
        <v>6224</v>
      </c>
      <c r="H210" s="26" t="s">
        <v>6223</v>
      </c>
      <c r="I210" s="26" t="s">
        <v>6225</v>
      </c>
      <c r="J210" s="26" t="s">
        <v>6224</v>
      </c>
      <c r="K210" s="27"/>
      <c r="L210" s="28" t="s">
        <v>6223</v>
      </c>
      <c r="M210" s="29" t="str">
        <f t="shared" si="16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7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8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9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0"/>
        <v/>
      </c>
    </row>
    <row r="211" spans="1:49" ht="18" customHeight="1" x14ac:dyDescent="0.3">
      <c r="A211" s="23">
        <v>207</v>
      </c>
      <c r="B211" s="24" t="s">
        <v>469</v>
      </c>
      <c r="C211" s="25" t="s">
        <v>470</v>
      </c>
      <c r="D211" s="23" t="s">
        <v>194</v>
      </c>
      <c r="E211" s="46">
        <v>46125</v>
      </c>
      <c r="F211" s="26" t="s">
        <v>6222</v>
      </c>
      <c r="G211" s="26" t="s">
        <v>6224</v>
      </c>
      <c r="H211" s="26" t="s">
        <v>6223</v>
      </c>
      <c r="I211" s="26" t="s">
        <v>6225</v>
      </c>
      <c r="J211" s="26" t="s">
        <v>6224</v>
      </c>
      <c r="K211" s="27"/>
      <c r="L211" s="28" t="s">
        <v>6223</v>
      </c>
      <c r="M211" s="29" t="str">
        <f t="shared" si="16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7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8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9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0"/>
        <v/>
      </c>
    </row>
    <row r="212" spans="1:49" ht="18" customHeight="1" x14ac:dyDescent="0.3">
      <c r="A212" s="42">
        <v>208</v>
      </c>
      <c r="B212" s="43" t="s">
        <v>471</v>
      </c>
      <c r="C212" s="44" t="s">
        <v>472</v>
      </c>
      <c r="D212" s="42" t="s">
        <v>194</v>
      </c>
      <c r="E212" s="46">
        <v>46125</v>
      </c>
      <c r="F212" s="26" t="s">
        <v>6222</v>
      </c>
      <c r="G212" s="26" t="s">
        <v>6224</v>
      </c>
      <c r="H212" s="26" t="s">
        <v>6223</v>
      </c>
      <c r="I212" s="26" t="s">
        <v>6225</v>
      </c>
      <c r="J212" s="26" t="s">
        <v>6224</v>
      </c>
      <c r="K212" s="27"/>
      <c r="L212" s="28" t="s">
        <v>6223</v>
      </c>
      <c r="M212" s="29" t="str">
        <f t="shared" si="16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7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8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9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0"/>
        <v/>
      </c>
    </row>
    <row r="213" spans="1:49" ht="18" customHeight="1" x14ac:dyDescent="0.3">
      <c r="A213" s="23">
        <v>209</v>
      </c>
      <c r="B213" s="24" t="s">
        <v>473</v>
      </c>
      <c r="C213" s="25" t="s">
        <v>474</v>
      </c>
      <c r="D213" s="23" t="s">
        <v>194</v>
      </c>
      <c r="E213" s="46">
        <v>46125</v>
      </c>
      <c r="F213" s="26" t="s">
        <v>6222</v>
      </c>
      <c r="G213" s="26" t="s">
        <v>6224</v>
      </c>
      <c r="H213" s="26" t="s">
        <v>6223</v>
      </c>
      <c r="I213" s="26" t="s">
        <v>6225</v>
      </c>
      <c r="J213" s="26" t="s">
        <v>6224</v>
      </c>
      <c r="K213" s="27"/>
      <c r="L213" s="28" t="s">
        <v>6223</v>
      </c>
      <c r="M213" s="29" t="str">
        <f t="shared" si="16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7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8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9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0"/>
        <v/>
      </c>
    </row>
    <row r="214" spans="1:49" ht="18" customHeight="1" x14ac:dyDescent="0.3">
      <c r="A214" s="42">
        <v>210</v>
      </c>
      <c r="B214" s="43" t="s">
        <v>475</v>
      </c>
      <c r="C214" s="44" t="s">
        <v>476</v>
      </c>
      <c r="D214" s="42" t="s">
        <v>194</v>
      </c>
      <c r="E214" s="46">
        <v>46125</v>
      </c>
      <c r="F214" s="26" t="s">
        <v>6222</v>
      </c>
      <c r="G214" s="26" t="s">
        <v>6224</v>
      </c>
      <c r="H214" s="26" t="s">
        <v>6223</v>
      </c>
      <c r="I214" s="26" t="s">
        <v>6225</v>
      </c>
      <c r="J214" s="26" t="s">
        <v>6224</v>
      </c>
      <c r="K214" s="27"/>
      <c r="L214" s="28" t="s">
        <v>6223</v>
      </c>
      <c r="M214" s="29" t="str">
        <f t="shared" si="16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7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8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9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0"/>
        <v/>
      </c>
    </row>
    <row r="215" spans="1:49" ht="18" customHeight="1" x14ac:dyDescent="0.3">
      <c r="A215" s="23">
        <v>211</v>
      </c>
      <c r="B215" s="24" t="s">
        <v>477</v>
      </c>
      <c r="C215" s="25" t="s">
        <v>478</v>
      </c>
      <c r="D215" s="23" t="s">
        <v>194</v>
      </c>
      <c r="E215" s="46">
        <v>46125</v>
      </c>
      <c r="F215" s="26" t="s">
        <v>6222</v>
      </c>
      <c r="G215" s="26" t="s">
        <v>6224</v>
      </c>
      <c r="H215" s="26" t="s">
        <v>6223</v>
      </c>
      <c r="I215" s="26" t="s">
        <v>6225</v>
      </c>
      <c r="J215" s="26" t="s">
        <v>6224</v>
      </c>
      <c r="K215" s="27"/>
      <c r="L215" s="28" t="s">
        <v>6223</v>
      </c>
      <c r="M215" s="29" t="str">
        <f t="shared" si="16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7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8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9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0"/>
        <v/>
      </c>
    </row>
    <row r="216" spans="1:49" ht="18" customHeight="1" x14ac:dyDescent="0.3">
      <c r="A216" s="42">
        <v>212</v>
      </c>
      <c r="B216" s="43" t="s">
        <v>479</v>
      </c>
      <c r="C216" s="44" t="s">
        <v>480</v>
      </c>
      <c r="D216" s="42" t="s">
        <v>194</v>
      </c>
      <c r="E216" s="46">
        <v>46125</v>
      </c>
      <c r="F216" s="26" t="s">
        <v>6222</v>
      </c>
      <c r="G216" s="26" t="s">
        <v>6224</v>
      </c>
      <c r="H216" s="26" t="s">
        <v>6223</v>
      </c>
      <c r="I216" s="26" t="s">
        <v>6225</v>
      </c>
      <c r="J216" s="26" t="s">
        <v>6224</v>
      </c>
      <c r="K216" s="27" t="s">
        <v>6229</v>
      </c>
      <c r="L216" s="28" t="s">
        <v>6223</v>
      </c>
      <c r="M216" s="29" t="str">
        <f t="shared" si="16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7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8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9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0"/>
        <v/>
      </c>
    </row>
    <row r="217" spans="1:49" ht="18" customHeight="1" x14ac:dyDescent="0.3">
      <c r="A217" s="23">
        <v>213</v>
      </c>
      <c r="B217" s="24" t="s">
        <v>481</v>
      </c>
      <c r="C217" s="25" t="s">
        <v>482</v>
      </c>
      <c r="D217" s="23" t="s">
        <v>194</v>
      </c>
      <c r="E217" s="46">
        <v>46125</v>
      </c>
      <c r="F217" s="26" t="s">
        <v>6222</v>
      </c>
      <c r="G217" s="26" t="s">
        <v>6224</v>
      </c>
      <c r="H217" s="26" t="s">
        <v>6223</v>
      </c>
      <c r="I217" s="26" t="s">
        <v>6225</v>
      </c>
      <c r="J217" s="26" t="s">
        <v>6224</v>
      </c>
      <c r="K217" s="27"/>
      <c r="L217" s="28" t="s">
        <v>6223</v>
      </c>
      <c r="M217" s="29" t="str">
        <f t="shared" si="16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7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8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9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0"/>
        <v/>
      </c>
    </row>
    <row r="218" spans="1:49" ht="18" customHeight="1" x14ac:dyDescent="0.3">
      <c r="A218" s="42">
        <v>214</v>
      </c>
      <c r="B218" s="43" t="s">
        <v>483</v>
      </c>
      <c r="C218" s="44" t="s">
        <v>484</v>
      </c>
      <c r="D218" s="42" t="s">
        <v>194</v>
      </c>
      <c r="E218" s="46">
        <v>46125</v>
      </c>
      <c r="F218" s="26" t="s">
        <v>6222</v>
      </c>
      <c r="G218" s="26" t="s">
        <v>6224</v>
      </c>
      <c r="H218" s="26" t="s">
        <v>6223</v>
      </c>
      <c r="I218" s="26" t="s">
        <v>6225</v>
      </c>
      <c r="J218" s="26" t="s">
        <v>6224</v>
      </c>
      <c r="K218" s="27" t="s">
        <v>6229</v>
      </c>
      <c r="L218" s="28" t="s">
        <v>6223</v>
      </c>
      <c r="M218" s="29" t="str">
        <f t="shared" si="16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7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8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9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0"/>
        <v/>
      </c>
    </row>
    <row r="219" spans="1:49" ht="18" customHeight="1" x14ac:dyDescent="0.3">
      <c r="A219" s="23">
        <v>215</v>
      </c>
      <c r="B219" s="24" t="s">
        <v>485</v>
      </c>
      <c r="C219" s="25" t="s">
        <v>486</v>
      </c>
      <c r="D219" s="23" t="s">
        <v>194</v>
      </c>
      <c r="E219" s="46">
        <v>46125</v>
      </c>
      <c r="F219" s="26" t="s">
        <v>6222</v>
      </c>
      <c r="G219" s="26" t="s">
        <v>6224</v>
      </c>
      <c r="H219" s="26" t="s">
        <v>6223</v>
      </c>
      <c r="I219" s="26" t="s">
        <v>6225</v>
      </c>
      <c r="J219" s="26" t="s">
        <v>6224</v>
      </c>
      <c r="K219" s="27"/>
      <c r="L219" s="28" t="s">
        <v>6223</v>
      </c>
      <c r="M219" s="29" t="str">
        <f t="shared" si="16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7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8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9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0"/>
        <v/>
      </c>
    </row>
    <row r="220" spans="1:49" ht="18" customHeight="1" x14ac:dyDescent="0.3">
      <c r="A220" s="42">
        <v>216</v>
      </c>
      <c r="B220" s="43" t="s">
        <v>487</v>
      </c>
      <c r="C220" s="44" t="s">
        <v>488</v>
      </c>
      <c r="D220" s="42" t="s">
        <v>194</v>
      </c>
      <c r="E220" s="46">
        <v>46125</v>
      </c>
      <c r="F220" s="26" t="s">
        <v>6222</v>
      </c>
      <c r="G220" s="26" t="s">
        <v>6224</v>
      </c>
      <c r="H220" s="26" t="s">
        <v>6223</v>
      </c>
      <c r="I220" s="26" t="s">
        <v>6225</v>
      </c>
      <c r="J220" s="26" t="s">
        <v>6224</v>
      </c>
      <c r="K220" s="27"/>
      <c r="L220" s="28" t="s">
        <v>6223</v>
      </c>
      <c r="M220" s="29" t="str">
        <f t="shared" si="16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7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8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9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0"/>
        <v/>
      </c>
    </row>
    <row r="221" spans="1:49" ht="18" customHeight="1" x14ac:dyDescent="0.3">
      <c r="A221" s="23">
        <v>217</v>
      </c>
      <c r="B221" s="24" t="s">
        <v>489</v>
      </c>
      <c r="C221" s="25" t="s">
        <v>490</v>
      </c>
      <c r="D221" s="23" t="s">
        <v>194</v>
      </c>
      <c r="E221" s="46">
        <v>46125</v>
      </c>
      <c r="F221" s="26" t="s">
        <v>6222</v>
      </c>
      <c r="G221" s="26" t="s">
        <v>6224</v>
      </c>
      <c r="H221" s="26" t="s">
        <v>6223</v>
      </c>
      <c r="I221" s="26" t="s">
        <v>6225</v>
      </c>
      <c r="J221" s="26" t="s">
        <v>6224</v>
      </c>
      <c r="K221" s="27"/>
      <c r="L221" s="28" t="s">
        <v>6223</v>
      </c>
      <c r="M221" s="29" t="str">
        <f t="shared" si="16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7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8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9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0"/>
        <v/>
      </c>
    </row>
    <row r="222" spans="1:49" ht="18" customHeight="1" x14ac:dyDescent="0.3">
      <c r="A222" s="42">
        <v>218</v>
      </c>
      <c r="B222" s="43" t="s">
        <v>491</v>
      </c>
      <c r="C222" s="44" t="s">
        <v>492</v>
      </c>
      <c r="D222" s="42" t="s">
        <v>194</v>
      </c>
      <c r="E222" s="46">
        <v>46125</v>
      </c>
      <c r="F222" s="26" t="s">
        <v>6222</v>
      </c>
      <c r="G222" s="26" t="s">
        <v>6224</v>
      </c>
      <c r="H222" s="26" t="s">
        <v>6223</v>
      </c>
      <c r="I222" s="26" t="s">
        <v>6225</v>
      </c>
      <c r="J222" s="26" t="s">
        <v>6224</v>
      </c>
      <c r="K222" s="27"/>
      <c r="L222" s="28" t="s">
        <v>6223</v>
      </c>
      <c r="M222" s="29" t="str">
        <f t="shared" si="16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7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8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9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0"/>
        <v/>
      </c>
    </row>
    <row r="223" spans="1:49" ht="18" customHeight="1" x14ac:dyDescent="0.3">
      <c r="A223" s="23">
        <v>219</v>
      </c>
      <c r="B223" s="24" t="s">
        <v>493</v>
      </c>
      <c r="C223" s="25" t="s">
        <v>494</v>
      </c>
      <c r="D223" s="23" t="s">
        <v>194</v>
      </c>
      <c r="E223" s="46">
        <v>46125</v>
      </c>
      <c r="F223" s="26" t="s">
        <v>6222</v>
      </c>
      <c r="G223" s="26" t="s">
        <v>6224</v>
      </c>
      <c r="H223" s="26" t="s">
        <v>6223</v>
      </c>
      <c r="I223" s="26" t="s">
        <v>6226</v>
      </c>
      <c r="J223" s="26" t="s">
        <v>6223</v>
      </c>
      <c r="K223" s="27" t="s">
        <v>6231</v>
      </c>
      <c r="L223" s="28" t="s">
        <v>6224</v>
      </c>
      <c r="M223" s="29" t="str">
        <f t="shared" si="16"/>
        <v>⚠ Check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7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8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9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0"/>
        <v/>
      </c>
    </row>
    <row r="224" spans="1:49" ht="18" customHeight="1" x14ac:dyDescent="0.3">
      <c r="A224" s="42">
        <v>220</v>
      </c>
      <c r="B224" s="43" t="s">
        <v>495</v>
      </c>
      <c r="C224" s="44" t="s">
        <v>496</v>
      </c>
      <c r="D224" s="42" t="s">
        <v>194</v>
      </c>
      <c r="E224" s="46">
        <v>46125</v>
      </c>
      <c r="F224" s="26" t="s">
        <v>6222</v>
      </c>
      <c r="G224" s="26" t="s">
        <v>6224</v>
      </c>
      <c r="H224" s="26" t="s">
        <v>6223</v>
      </c>
      <c r="I224" s="26" t="s">
        <v>6225</v>
      </c>
      <c r="J224" s="26" t="s">
        <v>6224</v>
      </c>
      <c r="K224" s="27"/>
      <c r="L224" s="28" t="s">
        <v>6223</v>
      </c>
      <c r="M224" s="29" t="str">
        <f t="shared" si="16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7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8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9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0"/>
        <v/>
      </c>
    </row>
    <row r="225" spans="1:49" ht="18" customHeight="1" x14ac:dyDescent="0.3">
      <c r="A225" s="23">
        <v>221</v>
      </c>
      <c r="B225" s="24" t="s">
        <v>497</v>
      </c>
      <c r="C225" s="25" t="s">
        <v>498</v>
      </c>
      <c r="D225" s="23" t="s">
        <v>194</v>
      </c>
      <c r="E225" s="46">
        <v>46125</v>
      </c>
      <c r="F225" s="26" t="s">
        <v>6222</v>
      </c>
      <c r="G225" s="26" t="s">
        <v>6224</v>
      </c>
      <c r="H225" s="26" t="s">
        <v>6223</v>
      </c>
      <c r="I225" s="26" t="s">
        <v>6225</v>
      </c>
      <c r="J225" s="26" t="s">
        <v>6224</v>
      </c>
      <c r="K225" s="27"/>
      <c r="L225" s="28" t="s">
        <v>6223</v>
      </c>
      <c r="M225" s="29" t="str">
        <f t="shared" si="16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7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8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9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0"/>
        <v/>
      </c>
    </row>
    <row r="226" spans="1:49" ht="18" customHeight="1" x14ac:dyDescent="0.3">
      <c r="A226" s="42">
        <v>222</v>
      </c>
      <c r="B226" s="43" t="s">
        <v>499</v>
      </c>
      <c r="C226" s="44" t="s">
        <v>500</v>
      </c>
      <c r="D226" s="42" t="s">
        <v>194</v>
      </c>
      <c r="E226" s="46">
        <v>46125</v>
      </c>
      <c r="F226" s="26" t="s">
        <v>6222</v>
      </c>
      <c r="G226" s="26" t="s">
        <v>6224</v>
      </c>
      <c r="H226" s="26" t="s">
        <v>6223</v>
      </c>
      <c r="I226" s="26" t="s">
        <v>6225</v>
      </c>
      <c r="J226" s="26" t="s">
        <v>6224</v>
      </c>
      <c r="K226" s="27" t="s">
        <v>6229</v>
      </c>
      <c r="L226" s="28" t="s">
        <v>6223</v>
      </c>
      <c r="M226" s="29" t="str">
        <f t="shared" si="16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7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8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9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0"/>
        <v/>
      </c>
    </row>
    <row r="227" spans="1:49" ht="18" customHeight="1" x14ac:dyDescent="0.3">
      <c r="A227" s="23">
        <v>223</v>
      </c>
      <c r="B227" s="24" t="s">
        <v>501</v>
      </c>
      <c r="C227" s="25" t="s">
        <v>502</v>
      </c>
      <c r="D227" s="23" t="s">
        <v>194</v>
      </c>
      <c r="E227" s="46">
        <v>46125</v>
      </c>
      <c r="F227" s="26" t="s">
        <v>6222</v>
      </c>
      <c r="G227" s="26" t="s">
        <v>6224</v>
      </c>
      <c r="H227" s="26" t="s">
        <v>6223</v>
      </c>
      <c r="I227" s="26" t="s">
        <v>6225</v>
      </c>
      <c r="J227" s="26" t="s">
        <v>6224</v>
      </c>
      <c r="K227" s="27"/>
      <c r="L227" s="28" t="s">
        <v>6223</v>
      </c>
      <c r="M227" s="29" t="str">
        <f t="shared" si="16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7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8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9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0"/>
        <v/>
      </c>
    </row>
    <row r="228" spans="1:49" ht="18" customHeight="1" x14ac:dyDescent="0.3">
      <c r="A228" s="42">
        <v>224</v>
      </c>
      <c r="B228" s="43" t="s">
        <v>503</v>
      </c>
      <c r="C228" s="44" t="s">
        <v>504</v>
      </c>
      <c r="D228" s="42" t="s">
        <v>194</v>
      </c>
      <c r="E228" s="46">
        <v>46125</v>
      </c>
      <c r="F228" s="26" t="s">
        <v>6222</v>
      </c>
      <c r="G228" s="26" t="s">
        <v>6224</v>
      </c>
      <c r="H228" s="26" t="s">
        <v>6223</v>
      </c>
      <c r="I228" s="26" t="s">
        <v>6225</v>
      </c>
      <c r="J228" s="26" t="s">
        <v>6224</v>
      </c>
      <c r="K228" s="27"/>
      <c r="L228" s="28" t="s">
        <v>6223</v>
      </c>
      <c r="M228" s="29" t="str">
        <f t="shared" si="16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7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8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9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0"/>
        <v/>
      </c>
    </row>
    <row r="229" spans="1:49" ht="18" customHeight="1" x14ac:dyDescent="0.3">
      <c r="A229" s="23">
        <v>225</v>
      </c>
      <c r="B229" s="24" t="s">
        <v>505</v>
      </c>
      <c r="C229" s="25" t="s">
        <v>506</v>
      </c>
      <c r="D229" s="23" t="s">
        <v>194</v>
      </c>
      <c r="E229" s="46">
        <v>46125</v>
      </c>
      <c r="F229" s="26" t="s">
        <v>6222</v>
      </c>
      <c r="G229" s="26" t="s">
        <v>6224</v>
      </c>
      <c r="H229" s="26" t="s">
        <v>6223</v>
      </c>
      <c r="I229" s="26" t="s">
        <v>6225</v>
      </c>
      <c r="J229" s="26" t="s">
        <v>6224</v>
      </c>
      <c r="K229" s="27"/>
      <c r="L229" s="28" t="s">
        <v>6223</v>
      </c>
      <c r="M229" s="29" t="str">
        <f t="shared" si="16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7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8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9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0"/>
        <v/>
      </c>
    </row>
    <row r="230" spans="1:49" ht="18" customHeight="1" x14ac:dyDescent="0.3">
      <c r="A230" s="42">
        <v>226</v>
      </c>
      <c r="B230" s="43" t="s">
        <v>507</v>
      </c>
      <c r="C230" s="44" t="s">
        <v>508</v>
      </c>
      <c r="D230" s="42" t="s">
        <v>194</v>
      </c>
      <c r="E230" s="46">
        <v>46125</v>
      </c>
      <c r="F230" s="26" t="s">
        <v>6222</v>
      </c>
      <c r="G230" s="26" t="s">
        <v>6224</v>
      </c>
      <c r="H230" s="26" t="s">
        <v>6223</v>
      </c>
      <c r="I230" s="26" t="s">
        <v>6225</v>
      </c>
      <c r="J230" s="26" t="s">
        <v>6224</v>
      </c>
      <c r="K230" s="27"/>
      <c r="L230" s="28" t="s">
        <v>6223</v>
      </c>
      <c r="M230" s="29" t="str">
        <f t="shared" si="16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7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8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9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0"/>
        <v/>
      </c>
    </row>
    <row r="231" spans="1:49" ht="18" customHeight="1" x14ac:dyDescent="0.3">
      <c r="A231" s="23">
        <v>227</v>
      </c>
      <c r="B231" s="24" t="s">
        <v>509</v>
      </c>
      <c r="C231" s="25" t="s">
        <v>510</v>
      </c>
      <c r="D231" s="23" t="s">
        <v>194</v>
      </c>
      <c r="E231" s="46">
        <v>46125</v>
      </c>
      <c r="F231" s="26" t="s">
        <v>6222</v>
      </c>
      <c r="G231" s="26" t="s">
        <v>6224</v>
      </c>
      <c r="H231" s="26" t="s">
        <v>6223</v>
      </c>
      <c r="I231" s="26" t="s">
        <v>6225</v>
      </c>
      <c r="J231" s="26" t="s">
        <v>6224</v>
      </c>
      <c r="K231" s="27"/>
      <c r="L231" s="28" t="s">
        <v>6223</v>
      </c>
      <c r="M231" s="29" t="str">
        <f t="shared" si="16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7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8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9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0"/>
        <v/>
      </c>
    </row>
    <row r="232" spans="1:49" ht="18" customHeight="1" x14ac:dyDescent="0.3">
      <c r="A232" s="42">
        <v>228</v>
      </c>
      <c r="B232" s="43" t="s">
        <v>511</v>
      </c>
      <c r="C232" s="44" t="s">
        <v>512</v>
      </c>
      <c r="D232" s="42" t="s">
        <v>194</v>
      </c>
      <c r="E232" s="46">
        <v>46125</v>
      </c>
      <c r="F232" s="26" t="s">
        <v>6222</v>
      </c>
      <c r="G232" s="26" t="s">
        <v>6224</v>
      </c>
      <c r="H232" s="26" t="s">
        <v>6223</v>
      </c>
      <c r="I232" s="26" t="s">
        <v>6225</v>
      </c>
      <c r="J232" s="26" t="s">
        <v>6224</v>
      </c>
      <c r="K232" s="27" t="s">
        <v>6229</v>
      </c>
      <c r="L232" s="28" t="s">
        <v>6223</v>
      </c>
      <c r="M232" s="29" t="str">
        <f t="shared" si="16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7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8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9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0"/>
        <v/>
      </c>
    </row>
    <row r="233" spans="1:49" ht="18" customHeight="1" x14ac:dyDescent="0.3">
      <c r="A233" s="23">
        <v>229</v>
      </c>
      <c r="B233" s="24" t="s">
        <v>513</v>
      </c>
      <c r="C233" s="25" t="s">
        <v>514</v>
      </c>
      <c r="D233" s="23" t="s">
        <v>194</v>
      </c>
      <c r="E233" s="46">
        <v>46125</v>
      </c>
      <c r="F233" s="26" t="s">
        <v>6222</v>
      </c>
      <c r="G233" s="26" t="s">
        <v>6224</v>
      </c>
      <c r="H233" s="26" t="s">
        <v>6223</v>
      </c>
      <c r="I233" s="26" t="s">
        <v>6225</v>
      </c>
      <c r="J233" s="26" t="s">
        <v>6224</v>
      </c>
      <c r="K233" s="27"/>
      <c r="L233" s="28" t="s">
        <v>6223</v>
      </c>
      <c r="M233" s="29" t="str">
        <f t="shared" si="16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7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8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9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0"/>
        <v/>
      </c>
    </row>
    <row r="234" spans="1:49" ht="18" customHeight="1" x14ac:dyDescent="0.3">
      <c r="A234" s="42">
        <v>230</v>
      </c>
      <c r="B234" s="43" t="s">
        <v>515</v>
      </c>
      <c r="C234" s="44" t="s">
        <v>516</v>
      </c>
      <c r="D234" s="42" t="s">
        <v>194</v>
      </c>
      <c r="E234" s="46">
        <v>46125</v>
      </c>
      <c r="F234" s="26" t="s">
        <v>6222</v>
      </c>
      <c r="G234" s="26" t="s">
        <v>6224</v>
      </c>
      <c r="H234" s="26" t="s">
        <v>6223</v>
      </c>
      <c r="I234" s="26" t="s">
        <v>6225</v>
      </c>
      <c r="J234" s="26" t="s">
        <v>6224</v>
      </c>
      <c r="K234" s="27"/>
      <c r="L234" s="28" t="s">
        <v>6223</v>
      </c>
      <c r="M234" s="29" t="str">
        <f t="shared" si="16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7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8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9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0"/>
        <v/>
      </c>
    </row>
    <row r="235" spans="1:49" ht="18" customHeight="1" x14ac:dyDescent="0.3">
      <c r="A235" s="23">
        <v>231</v>
      </c>
      <c r="B235" s="24" t="s">
        <v>517</v>
      </c>
      <c r="C235" s="25" t="s">
        <v>518</v>
      </c>
      <c r="D235" s="23" t="s">
        <v>194</v>
      </c>
      <c r="E235" s="46">
        <v>46125</v>
      </c>
      <c r="F235" s="26" t="s">
        <v>6222</v>
      </c>
      <c r="G235" s="26" t="s">
        <v>6224</v>
      </c>
      <c r="H235" s="26" t="s">
        <v>6223</v>
      </c>
      <c r="I235" s="26" t="s">
        <v>6225</v>
      </c>
      <c r="J235" s="26" t="s">
        <v>6224</v>
      </c>
      <c r="K235" s="27" t="s">
        <v>6229</v>
      </c>
      <c r="L235" s="28" t="s">
        <v>6224</v>
      </c>
      <c r="M235" s="29" t="str">
        <f t="shared" si="16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7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8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9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0"/>
        <v/>
      </c>
    </row>
    <row r="236" spans="1:49" ht="18" customHeight="1" x14ac:dyDescent="0.3">
      <c r="A236" s="42">
        <v>232</v>
      </c>
      <c r="B236" s="43" t="s">
        <v>519</v>
      </c>
      <c r="C236" s="44" t="s">
        <v>520</v>
      </c>
      <c r="D236" s="42" t="s">
        <v>194</v>
      </c>
      <c r="E236" s="46">
        <v>46125</v>
      </c>
      <c r="F236" s="26" t="s">
        <v>6222</v>
      </c>
      <c r="G236" s="26" t="s">
        <v>6224</v>
      </c>
      <c r="H236" s="26" t="s">
        <v>6223</v>
      </c>
      <c r="I236" s="26" t="s">
        <v>6225</v>
      </c>
      <c r="J236" s="26" t="s">
        <v>6224</v>
      </c>
      <c r="K236" s="27"/>
      <c r="L236" s="28" t="s">
        <v>6223</v>
      </c>
      <c r="M236" s="29" t="str">
        <f t="shared" si="16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7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8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9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0"/>
        <v/>
      </c>
    </row>
    <row r="237" spans="1:49" ht="18" customHeight="1" x14ac:dyDescent="0.3">
      <c r="A237" s="23">
        <v>233</v>
      </c>
      <c r="B237" s="24" t="s">
        <v>521</v>
      </c>
      <c r="C237" s="25" t="s">
        <v>522</v>
      </c>
      <c r="D237" s="23" t="s">
        <v>194</v>
      </c>
      <c r="E237" s="46">
        <v>46125</v>
      </c>
      <c r="F237" s="26" t="s">
        <v>6222</v>
      </c>
      <c r="G237" s="26" t="s">
        <v>6224</v>
      </c>
      <c r="H237" s="26" t="s">
        <v>6223</v>
      </c>
      <c r="I237" s="26" t="s">
        <v>6225</v>
      </c>
      <c r="J237" s="26" t="s">
        <v>6224</v>
      </c>
      <c r="K237" s="27"/>
      <c r="L237" s="28" t="s">
        <v>6223</v>
      </c>
      <c r="M237" s="29" t="str">
        <f t="shared" si="16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7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8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9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0"/>
        <v/>
      </c>
    </row>
    <row r="238" spans="1:49" ht="18" customHeight="1" x14ac:dyDescent="0.3">
      <c r="A238" s="42">
        <v>234</v>
      </c>
      <c r="B238" s="43" t="s">
        <v>523</v>
      </c>
      <c r="C238" s="44" t="s">
        <v>524</v>
      </c>
      <c r="D238" s="42" t="s">
        <v>194</v>
      </c>
      <c r="E238" s="46">
        <v>46125</v>
      </c>
      <c r="F238" s="26" t="s">
        <v>6222</v>
      </c>
      <c r="G238" s="26" t="s">
        <v>6224</v>
      </c>
      <c r="H238" s="26" t="s">
        <v>6223</v>
      </c>
      <c r="I238" s="26" t="s">
        <v>6225</v>
      </c>
      <c r="J238" s="26" t="s">
        <v>6224</v>
      </c>
      <c r="K238" s="27" t="s">
        <v>6229</v>
      </c>
      <c r="L238" s="28" t="s">
        <v>6224</v>
      </c>
      <c r="M238" s="29" t="str">
        <f t="shared" si="16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7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8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9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0"/>
        <v/>
      </c>
    </row>
    <row r="239" spans="1:49" ht="18" customHeight="1" x14ac:dyDescent="0.3">
      <c r="A239" s="23">
        <v>235</v>
      </c>
      <c r="B239" s="24" t="s">
        <v>525</v>
      </c>
      <c r="C239" s="25" t="s">
        <v>526</v>
      </c>
      <c r="D239" s="23" t="s">
        <v>194</v>
      </c>
      <c r="E239" s="46">
        <v>46125</v>
      </c>
      <c r="F239" s="26" t="s">
        <v>6222</v>
      </c>
      <c r="G239" s="26" t="s">
        <v>6224</v>
      </c>
      <c r="H239" s="26" t="s">
        <v>6223</v>
      </c>
      <c r="I239" s="26" t="s">
        <v>6225</v>
      </c>
      <c r="J239" s="26" t="s">
        <v>6224</v>
      </c>
      <c r="K239" s="27" t="s">
        <v>6229</v>
      </c>
      <c r="L239" s="28" t="s">
        <v>6224</v>
      </c>
      <c r="M239" s="29" t="str">
        <f t="shared" si="16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7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8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9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0"/>
        <v/>
      </c>
    </row>
    <row r="240" spans="1:49" ht="18" customHeight="1" x14ac:dyDescent="0.3">
      <c r="A240" s="42">
        <v>236</v>
      </c>
      <c r="B240" s="43" t="s">
        <v>527</v>
      </c>
      <c r="C240" s="44" t="s">
        <v>528</v>
      </c>
      <c r="D240" s="42" t="s">
        <v>194</v>
      </c>
      <c r="E240" s="46">
        <v>46125</v>
      </c>
      <c r="F240" s="26" t="s">
        <v>6222</v>
      </c>
      <c r="G240" s="26" t="s">
        <v>6224</v>
      </c>
      <c r="H240" s="26" t="s">
        <v>6223</v>
      </c>
      <c r="I240" s="26" t="s">
        <v>6225</v>
      </c>
      <c r="J240" s="26" t="s">
        <v>6224</v>
      </c>
      <c r="K240" s="27"/>
      <c r="L240" s="28" t="s">
        <v>6223</v>
      </c>
      <c r="M240" s="29" t="str">
        <f t="shared" si="16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7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8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9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0"/>
        <v/>
      </c>
    </row>
    <row r="241" spans="1:49" ht="18" customHeight="1" x14ac:dyDescent="0.3">
      <c r="A241" s="23">
        <v>237</v>
      </c>
      <c r="B241" s="24" t="s">
        <v>529</v>
      </c>
      <c r="C241" s="25" t="s">
        <v>530</v>
      </c>
      <c r="D241" s="23" t="s">
        <v>194</v>
      </c>
      <c r="E241" s="46">
        <v>46125</v>
      </c>
      <c r="F241" s="26" t="s">
        <v>6222</v>
      </c>
      <c r="G241" s="26" t="s">
        <v>6224</v>
      </c>
      <c r="H241" s="26" t="s">
        <v>6223</v>
      </c>
      <c r="I241" s="26" t="s">
        <v>6225</v>
      </c>
      <c r="J241" s="26" t="s">
        <v>6224</v>
      </c>
      <c r="K241" s="27" t="s">
        <v>6229</v>
      </c>
      <c r="L241" s="28" t="s">
        <v>6224</v>
      </c>
      <c r="M241" s="29" t="str">
        <f t="shared" si="16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7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8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9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0"/>
        <v/>
      </c>
    </row>
    <row r="242" spans="1:49" ht="18" customHeight="1" x14ac:dyDescent="0.3">
      <c r="A242" s="42">
        <v>238</v>
      </c>
      <c r="B242" s="43" t="s">
        <v>531</v>
      </c>
      <c r="C242" s="44" t="s">
        <v>532</v>
      </c>
      <c r="D242" s="42" t="s">
        <v>194</v>
      </c>
      <c r="E242" s="46">
        <v>46125</v>
      </c>
      <c r="F242" s="26" t="s">
        <v>6222</v>
      </c>
      <c r="G242" s="26" t="s">
        <v>6224</v>
      </c>
      <c r="H242" s="26" t="s">
        <v>6223</v>
      </c>
      <c r="I242" s="26" t="s">
        <v>6225</v>
      </c>
      <c r="J242" s="26" t="s">
        <v>6224</v>
      </c>
      <c r="K242" s="27"/>
      <c r="L242" s="28" t="s">
        <v>6223</v>
      </c>
      <c r="M242" s="29" t="str">
        <f t="shared" si="16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7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8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9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0"/>
        <v/>
      </c>
    </row>
    <row r="243" spans="1:49" ht="18" customHeight="1" x14ac:dyDescent="0.3">
      <c r="A243" s="23">
        <v>239</v>
      </c>
      <c r="B243" s="24" t="s">
        <v>533</v>
      </c>
      <c r="C243" s="25" t="s">
        <v>534</v>
      </c>
      <c r="D243" s="23" t="s">
        <v>194</v>
      </c>
      <c r="E243" s="46">
        <v>46125</v>
      </c>
      <c r="F243" s="26" t="s">
        <v>6222</v>
      </c>
      <c r="G243" s="26" t="s">
        <v>6224</v>
      </c>
      <c r="H243" s="26" t="s">
        <v>6223</v>
      </c>
      <c r="I243" s="26" t="s">
        <v>6225</v>
      </c>
      <c r="J243" s="26" t="s">
        <v>6224</v>
      </c>
      <c r="K243" s="27"/>
      <c r="L243" s="28" t="s">
        <v>6223</v>
      </c>
      <c r="M243" s="29" t="str">
        <f t="shared" si="16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7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8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9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0"/>
        <v/>
      </c>
    </row>
    <row r="244" spans="1:49" ht="18" customHeight="1" x14ac:dyDescent="0.3">
      <c r="A244" s="42">
        <v>240</v>
      </c>
      <c r="B244" s="43" t="s">
        <v>535</v>
      </c>
      <c r="C244" s="44" t="s">
        <v>536</v>
      </c>
      <c r="D244" s="42" t="s">
        <v>194</v>
      </c>
      <c r="E244" s="46">
        <v>46125</v>
      </c>
      <c r="F244" s="26" t="s">
        <v>6222</v>
      </c>
      <c r="G244" s="26" t="s">
        <v>6224</v>
      </c>
      <c r="H244" s="26" t="s">
        <v>6223</v>
      </c>
      <c r="I244" s="26" t="s">
        <v>6225</v>
      </c>
      <c r="J244" s="26" t="s">
        <v>6224</v>
      </c>
      <c r="K244" s="27" t="s">
        <v>6229</v>
      </c>
      <c r="L244" s="28" t="s">
        <v>6224</v>
      </c>
      <c r="M244" s="29" t="str">
        <f t="shared" si="16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7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8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9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0"/>
        <v/>
      </c>
    </row>
    <row r="245" spans="1:49" ht="18" customHeight="1" x14ac:dyDescent="0.3">
      <c r="A245" s="23">
        <v>241</v>
      </c>
      <c r="B245" s="24" t="s">
        <v>537</v>
      </c>
      <c r="C245" s="25" t="s">
        <v>538</v>
      </c>
      <c r="D245" s="23" t="s">
        <v>194</v>
      </c>
      <c r="E245" s="46">
        <v>46125</v>
      </c>
      <c r="F245" s="26" t="s">
        <v>6222</v>
      </c>
      <c r="G245" s="26" t="s">
        <v>6224</v>
      </c>
      <c r="H245" s="26" t="s">
        <v>6223</v>
      </c>
      <c r="I245" s="26" t="s">
        <v>6225</v>
      </c>
      <c r="J245" s="26" t="s">
        <v>6224</v>
      </c>
      <c r="K245" s="27" t="s">
        <v>6229</v>
      </c>
      <c r="L245" s="28" t="s">
        <v>6224</v>
      </c>
      <c r="M245" s="29" t="str">
        <f t="shared" si="16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7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8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9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0"/>
        <v/>
      </c>
    </row>
    <row r="246" spans="1:49" ht="18" customHeight="1" x14ac:dyDescent="0.3">
      <c r="A246" s="42">
        <v>242</v>
      </c>
      <c r="B246" s="43" t="s">
        <v>539</v>
      </c>
      <c r="C246" s="44" t="s">
        <v>540</v>
      </c>
      <c r="D246" s="42" t="s">
        <v>194</v>
      </c>
      <c r="E246" s="46">
        <v>46125</v>
      </c>
      <c r="F246" s="26" t="s">
        <v>6222</v>
      </c>
      <c r="G246" s="26" t="s">
        <v>6224</v>
      </c>
      <c r="H246" s="26" t="s">
        <v>6223</v>
      </c>
      <c r="I246" s="26" t="s">
        <v>6225</v>
      </c>
      <c r="J246" s="26" t="s">
        <v>6224</v>
      </c>
      <c r="K246" s="27" t="s">
        <v>6229</v>
      </c>
      <c r="L246" s="28" t="s">
        <v>6224</v>
      </c>
      <c r="M246" s="29" t="str">
        <f t="shared" si="16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7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8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9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0"/>
        <v/>
      </c>
    </row>
    <row r="247" spans="1:49" ht="18" customHeight="1" x14ac:dyDescent="0.3">
      <c r="A247" s="23">
        <v>243</v>
      </c>
      <c r="B247" s="24" t="s">
        <v>541</v>
      </c>
      <c r="C247" s="25" t="s">
        <v>542</v>
      </c>
      <c r="D247" s="23" t="s">
        <v>194</v>
      </c>
      <c r="E247" s="46">
        <v>46125</v>
      </c>
      <c r="F247" s="26" t="s">
        <v>6222</v>
      </c>
      <c r="G247" s="26" t="s">
        <v>6224</v>
      </c>
      <c r="H247" s="26" t="s">
        <v>6223</v>
      </c>
      <c r="I247" s="26" t="s">
        <v>6225</v>
      </c>
      <c r="J247" s="26" t="s">
        <v>6224</v>
      </c>
      <c r="K247" s="27"/>
      <c r="L247" s="28" t="s">
        <v>6223</v>
      </c>
      <c r="M247" s="29" t="str">
        <f t="shared" si="16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7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8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9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0"/>
        <v/>
      </c>
    </row>
    <row r="248" spans="1:49" ht="18" customHeight="1" x14ac:dyDescent="0.3">
      <c r="A248" s="42">
        <v>244</v>
      </c>
      <c r="B248" s="43" t="s">
        <v>543</v>
      </c>
      <c r="C248" s="44" t="s">
        <v>544</v>
      </c>
      <c r="D248" s="42" t="s">
        <v>194</v>
      </c>
      <c r="E248" s="46">
        <v>46125</v>
      </c>
      <c r="F248" s="26" t="s">
        <v>6222</v>
      </c>
      <c r="G248" s="26" t="s">
        <v>6224</v>
      </c>
      <c r="H248" s="26" t="s">
        <v>6223</v>
      </c>
      <c r="I248" s="26" t="s">
        <v>6225</v>
      </c>
      <c r="J248" s="26" t="s">
        <v>6224</v>
      </c>
      <c r="K248" s="27" t="s">
        <v>6229</v>
      </c>
      <c r="L248" s="28" t="s">
        <v>6224</v>
      </c>
      <c r="M248" s="29" t="str">
        <f t="shared" si="16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7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8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9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0"/>
        <v/>
      </c>
    </row>
    <row r="249" spans="1:49" ht="18" customHeight="1" x14ac:dyDescent="0.3">
      <c r="A249" s="23">
        <v>245</v>
      </c>
      <c r="B249" s="24" t="s">
        <v>545</v>
      </c>
      <c r="C249" s="25" t="s">
        <v>546</v>
      </c>
      <c r="D249" s="23" t="s">
        <v>194</v>
      </c>
      <c r="E249" s="46">
        <v>46125</v>
      </c>
      <c r="F249" s="26" t="s">
        <v>6222</v>
      </c>
      <c r="G249" s="26" t="s">
        <v>6224</v>
      </c>
      <c r="H249" s="26" t="s">
        <v>6223</v>
      </c>
      <c r="I249" s="26" t="s">
        <v>6225</v>
      </c>
      <c r="J249" s="26" t="s">
        <v>6224</v>
      </c>
      <c r="K249" s="27"/>
      <c r="L249" s="28" t="s">
        <v>6223</v>
      </c>
      <c r="M249" s="29" t="str">
        <f t="shared" si="16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7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8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9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0"/>
        <v/>
      </c>
    </row>
    <row r="250" spans="1:49" ht="18" customHeight="1" x14ac:dyDescent="0.3">
      <c r="A250" s="42">
        <v>246</v>
      </c>
      <c r="B250" s="43" t="s">
        <v>547</v>
      </c>
      <c r="C250" s="44" t="s">
        <v>548</v>
      </c>
      <c r="D250" s="42" t="s">
        <v>194</v>
      </c>
      <c r="E250" s="46">
        <v>46125</v>
      </c>
      <c r="F250" s="26" t="s">
        <v>6222</v>
      </c>
      <c r="G250" s="26" t="s">
        <v>6224</v>
      </c>
      <c r="H250" s="26" t="s">
        <v>6223</v>
      </c>
      <c r="I250" s="26" t="s">
        <v>6225</v>
      </c>
      <c r="J250" s="26" t="s">
        <v>6224</v>
      </c>
      <c r="K250" s="27"/>
      <c r="L250" s="28" t="s">
        <v>6223</v>
      </c>
      <c r="M250" s="29" t="str">
        <f t="shared" si="16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7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8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9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0"/>
        <v/>
      </c>
    </row>
    <row r="251" spans="1:49" ht="18" customHeight="1" x14ac:dyDescent="0.3">
      <c r="A251" s="23">
        <v>247</v>
      </c>
      <c r="B251" s="24" t="s">
        <v>549</v>
      </c>
      <c r="C251" s="25" t="s">
        <v>550</v>
      </c>
      <c r="D251" s="23" t="s">
        <v>194</v>
      </c>
      <c r="E251" s="46">
        <v>46125</v>
      </c>
      <c r="F251" s="26" t="s">
        <v>6222</v>
      </c>
      <c r="G251" s="26" t="s">
        <v>6224</v>
      </c>
      <c r="H251" s="26" t="s">
        <v>6223</v>
      </c>
      <c r="I251" s="26" t="s">
        <v>6225</v>
      </c>
      <c r="J251" s="26" t="s">
        <v>6224</v>
      </c>
      <c r="K251" s="27"/>
      <c r="L251" s="28" t="s">
        <v>6223</v>
      </c>
      <c r="M251" s="29" t="str">
        <f t="shared" si="16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7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8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9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0"/>
        <v/>
      </c>
    </row>
    <row r="252" spans="1:49" ht="18" customHeight="1" x14ac:dyDescent="0.3">
      <c r="A252" s="42">
        <v>248</v>
      </c>
      <c r="B252" s="43" t="s">
        <v>551</v>
      </c>
      <c r="C252" s="44" t="s">
        <v>552</v>
      </c>
      <c r="D252" s="42" t="s">
        <v>194</v>
      </c>
      <c r="E252" s="46">
        <v>46125</v>
      </c>
      <c r="F252" s="26" t="s">
        <v>6222</v>
      </c>
      <c r="G252" s="26" t="s">
        <v>6224</v>
      </c>
      <c r="H252" s="26" t="s">
        <v>6223</v>
      </c>
      <c r="I252" s="26" t="s">
        <v>6225</v>
      </c>
      <c r="J252" s="26" t="s">
        <v>6224</v>
      </c>
      <c r="K252" s="27"/>
      <c r="L252" s="28" t="s">
        <v>6223</v>
      </c>
      <c r="M252" s="29" t="str">
        <f t="shared" si="16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7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8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9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0"/>
        <v/>
      </c>
    </row>
    <row r="253" spans="1:49" ht="18" customHeight="1" x14ac:dyDescent="0.3">
      <c r="A253" s="23">
        <v>249</v>
      </c>
      <c r="B253" s="24" t="s">
        <v>553</v>
      </c>
      <c r="C253" s="25" t="s">
        <v>554</v>
      </c>
      <c r="D253" s="23" t="s">
        <v>194</v>
      </c>
      <c r="E253" s="46">
        <v>46125</v>
      </c>
      <c r="F253" s="26" t="s">
        <v>6222</v>
      </c>
      <c r="G253" s="26" t="s">
        <v>6224</v>
      </c>
      <c r="H253" s="26" t="s">
        <v>6223</v>
      </c>
      <c r="I253" s="26" t="s">
        <v>6225</v>
      </c>
      <c r="J253" s="26" t="s">
        <v>6224</v>
      </c>
      <c r="K253" s="27" t="s">
        <v>6229</v>
      </c>
      <c r="L253" s="28" t="s">
        <v>6224</v>
      </c>
      <c r="M253" s="29" t="str">
        <f t="shared" si="16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7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8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9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20"/>
        <v/>
      </c>
    </row>
    <row r="254" spans="1:49" ht="18" customHeight="1" x14ac:dyDescent="0.3">
      <c r="A254" s="42">
        <v>250</v>
      </c>
      <c r="B254" s="43" t="s">
        <v>555</v>
      </c>
      <c r="C254" s="44" t="s">
        <v>556</v>
      </c>
      <c r="D254" s="42" t="s">
        <v>194</v>
      </c>
      <c r="E254" s="46">
        <v>46125</v>
      </c>
      <c r="F254" s="26" t="s">
        <v>6222</v>
      </c>
      <c r="G254" s="26" t="s">
        <v>6224</v>
      </c>
      <c r="H254" s="26" t="s">
        <v>6223</v>
      </c>
      <c r="I254" s="26" t="s">
        <v>6225</v>
      </c>
      <c r="J254" s="26" t="s">
        <v>6224</v>
      </c>
      <c r="K254" s="27"/>
      <c r="L254" s="28" t="s">
        <v>6223</v>
      </c>
      <c r="M254" s="29" t="str">
        <f t="shared" si="16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7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8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9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0"/>
        <v/>
      </c>
    </row>
    <row r="255" spans="1:49" ht="18" customHeight="1" x14ac:dyDescent="0.3">
      <c r="A255" s="23">
        <v>251</v>
      </c>
      <c r="B255" s="24" t="s">
        <v>557</v>
      </c>
      <c r="C255" s="25" t="s">
        <v>558</v>
      </c>
      <c r="D255" s="23" t="s">
        <v>194</v>
      </c>
      <c r="E255" s="46">
        <v>46125</v>
      </c>
      <c r="F255" s="26" t="s">
        <v>6222</v>
      </c>
      <c r="G255" s="26" t="s">
        <v>6224</v>
      </c>
      <c r="H255" s="26" t="s">
        <v>6223</v>
      </c>
      <c r="I255" s="26" t="s">
        <v>6225</v>
      </c>
      <c r="J255" s="26" t="s">
        <v>6224</v>
      </c>
      <c r="K255" s="27"/>
      <c r="L255" s="28" t="s">
        <v>6223</v>
      </c>
      <c r="M255" s="29" t="str">
        <f t="shared" si="16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7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8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9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0"/>
        <v/>
      </c>
    </row>
    <row r="256" spans="1:49" ht="18" customHeight="1" x14ac:dyDescent="0.3">
      <c r="A256" s="42">
        <v>252</v>
      </c>
      <c r="B256" s="43" t="s">
        <v>559</v>
      </c>
      <c r="C256" s="44" t="s">
        <v>560</v>
      </c>
      <c r="D256" s="42" t="s">
        <v>194</v>
      </c>
      <c r="E256" s="46">
        <v>46125</v>
      </c>
      <c r="F256" s="26" t="s">
        <v>6222</v>
      </c>
      <c r="G256" s="26" t="s">
        <v>6224</v>
      </c>
      <c r="H256" s="26" t="s">
        <v>6223</v>
      </c>
      <c r="I256" s="26" t="s">
        <v>6225</v>
      </c>
      <c r="J256" s="26" t="s">
        <v>6224</v>
      </c>
      <c r="K256" s="27"/>
      <c r="L256" s="28" t="s">
        <v>6223</v>
      </c>
      <c r="M256" s="29" t="str">
        <f t="shared" si="16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7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8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9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0"/>
        <v/>
      </c>
    </row>
    <row r="257" spans="1:49" ht="18" customHeight="1" x14ac:dyDescent="0.3">
      <c r="A257" s="23">
        <v>253</v>
      </c>
      <c r="B257" s="24" t="s">
        <v>561</v>
      </c>
      <c r="C257" s="25" t="s">
        <v>562</v>
      </c>
      <c r="D257" s="23" t="s">
        <v>194</v>
      </c>
      <c r="E257" s="46">
        <v>46125</v>
      </c>
      <c r="F257" s="26" t="s">
        <v>6222</v>
      </c>
      <c r="G257" s="26" t="s">
        <v>6224</v>
      </c>
      <c r="H257" s="26" t="s">
        <v>6223</v>
      </c>
      <c r="I257" s="26" t="s">
        <v>6225</v>
      </c>
      <c r="J257" s="26" t="s">
        <v>6224</v>
      </c>
      <c r="K257" s="27"/>
      <c r="L257" s="28" t="s">
        <v>6223</v>
      </c>
      <c r="M257" s="29" t="str">
        <f t="shared" si="16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7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8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9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0"/>
        <v/>
      </c>
    </row>
    <row r="258" spans="1:49" ht="18" customHeight="1" x14ac:dyDescent="0.3">
      <c r="A258" s="42">
        <v>254</v>
      </c>
      <c r="B258" s="43" t="s">
        <v>563</v>
      </c>
      <c r="C258" s="44" t="s">
        <v>564</v>
      </c>
      <c r="D258" s="42" t="s">
        <v>194</v>
      </c>
      <c r="E258" s="46">
        <v>46125</v>
      </c>
      <c r="F258" s="26" t="s">
        <v>6222</v>
      </c>
      <c r="G258" s="26" t="s">
        <v>6224</v>
      </c>
      <c r="H258" s="26" t="s">
        <v>6223</v>
      </c>
      <c r="I258" s="26" t="s">
        <v>6225</v>
      </c>
      <c r="J258" s="26" t="s">
        <v>6224</v>
      </c>
      <c r="K258" s="27" t="s">
        <v>6229</v>
      </c>
      <c r="L258" s="28" t="s">
        <v>6224</v>
      </c>
      <c r="M258" s="29" t="str">
        <f t="shared" si="16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7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8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9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0"/>
        <v/>
      </c>
    </row>
    <row r="259" spans="1:49" ht="18" customHeight="1" x14ac:dyDescent="0.3">
      <c r="A259" s="23">
        <v>255</v>
      </c>
      <c r="B259" s="24" t="s">
        <v>565</v>
      </c>
      <c r="C259" s="25" t="s">
        <v>566</v>
      </c>
      <c r="D259" s="23" t="s">
        <v>194</v>
      </c>
      <c r="E259" s="46">
        <v>46125</v>
      </c>
      <c r="F259" s="26" t="s">
        <v>6222</v>
      </c>
      <c r="G259" s="26" t="s">
        <v>6224</v>
      </c>
      <c r="H259" s="26" t="s">
        <v>6223</v>
      </c>
      <c r="I259" s="26" t="s">
        <v>6225</v>
      </c>
      <c r="J259" s="26" t="s">
        <v>6224</v>
      </c>
      <c r="K259" s="27"/>
      <c r="L259" s="28" t="s">
        <v>6223</v>
      </c>
      <c r="M259" s="29" t="str">
        <f t="shared" si="16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7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8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9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0"/>
        <v/>
      </c>
    </row>
    <row r="260" spans="1:49" ht="18" customHeight="1" x14ac:dyDescent="0.3">
      <c r="A260" s="42">
        <v>256</v>
      </c>
      <c r="B260" s="43" t="s">
        <v>567</v>
      </c>
      <c r="C260" s="44" t="s">
        <v>568</v>
      </c>
      <c r="D260" s="42" t="s">
        <v>194</v>
      </c>
      <c r="E260" s="46">
        <v>46125</v>
      </c>
      <c r="F260" s="26" t="s">
        <v>6222</v>
      </c>
      <c r="G260" s="26" t="s">
        <v>6224</v>
      </c>
      <c r="H260" s="26" t="s">
        <v>6223</v>
      </c>
      <c r="I260" s="26" t="s">
        <v>6225</v>
      </c>
      <c r="J260" s="26" t="s">
        <v>6224</v>
      </c>
      <c r="K260" s="27"/>
      <c r="L260" s="28" t="s">
        <v>6223</v>
      </c>
      <c r="M260" s="29" t="str">
        <f t="shared" si="16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7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8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9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0"/>
        <v/>
      </c>
    </row>
    <row r="261" spans="1:49" ht="18" customHeight="1" x14ac:dyDescent="0.3">
      <c r="A261" s="23">
        <v>257</v>
      </c>
      <c r="B261" s="24" t="s">
        <v>569</v>
      </c>
      <c r="C261" s="25" t="s">
        <v>570</v>
      </c>
      <c r="D261" s="23" t="s">
        <v>194</v>
      </c>
      <c r="E261" s="46">
        <v>46125</v>
      </c>
      <c r="F261" s="26" t="s">
        <v>6222</v>
      </c>
      <c r="G261" s="26" t="s">
        <v>6224</v>
      </c>
      <c r="H261" s="26" t="s">
        <v>6223</v>
      </c>
      <c r="I261" s="26" t="s">
        <v>6225</v>
      </c>
      <c r="J261" s="26" t="s">
        <v>6224</v>
      </c>
      <c r="K261" s="27"/>
      <c r="L261" s="28" t="s">
        <v>6223</v>
      </c>
      <c r="M261" s="29" t="str">
        <f t="shared" ref="M261:M296" si="21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2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3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4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5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571</v>
      </c>
      <c r="C262" s="44" t="s">
        <v>572</v>
      </c>
      <c r="D262" s="42" t="s">
        <v>194</v>
      </c>
      <c r="E262" s="46">
        <v>46125</v>
      </c>
      <c r="F262" s="26" t="s">
        <v>6222</v>
      </c>
      <c r="G262" s="26" t="s">
        <v>6224</v>
      </c>
      <c r="H262" s="26" t="s">
        <v>6223</v>
      </c>
      <c r="I262" s="26" t="s">
        <v>6225</v>
      </c>
      <c r="J262" s="26" t="s">
        <v>6224</v>
      </c>
      <c r="K262" s="27"/>
      <c r="L262" s="28" t="s">
        <v>6223</v>
      </c>
      <c r="M262" s="29" t="str">
        <f t="shared" si="21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2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3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4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5"/>
        <v/>
      </c>
    </row>
    <row r="263" spans="1:49" ht="18" customHeight="1" x14ac:dyDescent="0.3">
      <c r="A263" s="23">
        <v>259</v>
      </c>
      <c r="B263" s="24" t="s">
        <v>573</v>
      </c>
      <c r="C263" s="25" t="s">
        <v>574</v>
      </c>
      <c r="D263" s="23" t="s">
        <v>194</v>
      </c>
      <c r="E263" s="46">
        <v>46125</v>
      </c>
      <c r="F263" s="26" t="s">
        <v>6222</v>
      </c>
      <c r="G263" s="26" t="s">
        <v>6224</v>
      </c>
      <c r="H263" s="26" t="s">
        <v>6223</v>
      </c>
      <c r="I263" s="26" t="s">
        <v>6225</v>
      </c>
      <c r="J263" s="26" t="s">
        <v>6224</v>
      </c>
      <c r="K263" s="27"/>
      <c r="L263" s="28" t="s">
        <v>6223</v>
      </c>
      <c r="M263" s="29" t="str">
        <f t="shared" si="21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2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3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4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5"/>
        <v/>
      </c>
    </row>
    <row r="264" spans="1:49" ht="18" customHeight="1" x14ac:dyDescent="0.3">
      <c r="A264" s="42">
        <v>260</v>
      </c>
      <c r="B264" s="43" t="s">
        <v>575</v>
      </c>
      <c r="C264" s="44" t="s">
        <v>576</v>
      </c>
      <c r="D264" s="42" t="s">
        <v>194</v>
      </c>
      <c r="E264" s="46">
        <v>46125</v>
      </c>
      <c r="F264" s="26" t="s">
        <v>6222</v>
      </c>
      <c r="G264" s="26" t="s">
        <v>6224</v>
      </c>
      <c r="H264" s="26" t="s">
        <v>6223</v>
      </c>
      <c r="I264" s="26" t="s">
        <v>6225</v>
      </c>
      <c r="J264" s="26" t="s">
        <v>6224</v>
      </c>
      <c r="K264" s="27"/>
      <c r="L264" s="28" t="s">
        <v>6223</v>
      </c>
      <c r="M264" s="29" t="str">
        <f t="shared" si="21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2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3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4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5"/>
        <v/>
      </c>
    </row>
    <row r="265" spans="1:49" ht="18" customHeight="1" x14ac:dyDescent="0.3">
      <c r="A265" s="23">
        <v>261</v>
      </c>
      <c r="B265" s="24" t="s">
        <v>577</v>
      </c>
      <c r="C265" s="25" t="s">
        <v>578</v>
      </c>
      <c r="D265" s="23" t="s">
        <v>194</v>
      </c>
      <c r="E265" s="46">
        <v>46125</v>
      </c>
      <c r="F265" s="26" t="s">
        <v>6222</v>
      </c>
      <c r="G265" s="26" t="s">
        <v>6224</v>
      </c>
      <c r="H265" s="26" t="s">
        <v>6223</v>
      </c>
      <c r="I265" s="26" t="s">
        <v>6225</v>
      </c>
      <c r="J265" s="26" t="s">
        <v>6224</v>
      </c>
      <c r="K265" s="27" t="s">
        <v>6229</v>
      </c>
      <c r="L265" s="28" t="s">
        <v>6224</v>
      </c>
      <c r="M265" s="29" t="str">
        <f t="shared" si="21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2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3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4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5"/>
        <v/>
      </c>
    </row>
    <row r="266" spans="1:49" ht="18" customHeight="1" x14ac:dyDescent="0.3">
      <c r="A266" s="42">
        <v>262</v>
      </c>
      <c r="B266" s="43" t="s">
        <v>579</v>
      </c>
      <c r="C266" s="44" t="s">
        <v>580</v>
      </c>
      <c r="D266" s="42" t="s">
        <v>194</v>
      </c>
      <c r="E266" s="46">
        <v>46125</v>
      </c>
      <c r="F266" s="26" t="s">
        <v>6222</v>
      </c>
      <c r="G266" s="26" t="s">
        <v>6224</v>
      </c>
      <c r="H266" s="26" t="s">
        <v>6223</v>
      </c>
      <c r="I266" s="26" t="s">
        <v>6225</v>
      </c>
      <c r="J266" s="26" t="s">
        <v>6224</v>
      </c>
      <c r="K266" s="27"/>
      <c r="L266" s="28" t="s">
        <v>6223</v>
      </c>
      <c r="M266" s="29" t="str">
        <f t="shared" si="21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2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3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4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5"/>
        <v/>
      </c>
    </row>
    <row r="267" spans="1:49" ht="18" customHeight="1" x14ac:dyDescent="0.3">
      <c r="A267" s="23">
        <v>263</v>
      </c>
      <c r="B267" s="24" t="s">
        <v>581</v>
      </c>
      <c r="C267" s="25" t="s">
        <v>582</v>
      </c>
      <c r="D267" s="23" t="s">
        <v>194</v>
      </c>
      <c r="E267" s="46">
        <v>46125</v>
      </c>
      <c r="F267" s="26" t="s">
        <v>6222</v>
      </c>
      <c r="G267" s="26" t="s">
        <v>6224</v>
      </c>
      <c r="H267" s="26" t="s">
        <v>6223</v>
      </c>
      <c r="I267" s="26" t="s">
        <v>6225</v>
      </c>
      <c r="J267" s="26" t="s">
        <v>6224</v>
      </c>
      <c r="K267" s="27"/>
      <c r="L267" s="28" t="s">
        <v>6223</v>
      </c>
      <c r="M267" s="29" t="str">
        <f t="shared" si="21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2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3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4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5"/>
        <v/>
      </c>
    </row>
    <row r="268" spans="1:49" ht="18" customHeight="1" x14ac:dyDescent="0.3">
      <c r="A268" s="42">
        <v>264</v>
      </c>
      <c r="B268" s="43" t="s">
        <v>583</v>
      </c>
      <c r="C268" s="44" t="s">
        <v>584</v>
      </c>
      <c r="D268" s="42" t="s">
        <v>194</v>
      </c>
      <c r="E268" s="46">
        <v>46125</v>
      </c>
      <c r="F268" s="26" t="s">
        <v>6222</v>
      </c>
      <c r="G268" s="26" t="s">
        <v>6224</v>
      </c>
      <c r="H268" s="26" t="s">
        <v>6223</v>
      </c>
      <c r="I268" s="26" t="s">
        <v>6225</v>
      </c>
      <c r="J268" s="26" t="s">
        <v>6224</v>
      </c>
      <c r="K268" s="27"/>
      <c r="L268" s="28" t="s">
        <v>6223</v>
      </c>
      <c r="M268" s="29" t="str">
        <f t="shared" si="21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2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3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4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5"/>
        <v/>
      </c>
    </row>
    <row r="269" spans="1:49" ht="18" customHeight="1" x14ac:dyDescent="0.3">
      <c r="A269" s="23">
        <v>265</v>
      </c>
      <c r="B269" s="24" t="s">
        <v>585</v>
      </c>
      <c r="C269" s="25" t="s">
        <v>586</v>
      </c>
      <c r="D269" s="23" t="s">
        <v>194</v>
      </c>
      <c r="E269" s="46">
        <v>46125</v>
      </c>
      <c r="F269" s="26" t="s">
        <v>6222</v>
      </c>
      <c r="G269" s="26" t="s">
        <v>6224</v>
      </c>
      <c r="H269" s="26" t="s">
        <v>6223</v>
      </c>
      <c r="I269" s="26" t="s">
        <v>6225</v>
      </c>
      <c r="J269" s="26" t="s">
        <v>6224</v>
      </c>
      <c r="K269" s="27" t="s">
        <v>6229</v>
      </c>
      <c r="L269" s="28" t="s">
        <v>6224</v>
      </c>
      <c r="M269" s="29" t="str">
        <f t="shared" si="21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2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3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4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5"/>
        <v/>
      </c>
    </row>
    <row r="270" spans="1:49" ht="18" customHeight="1" x14ac:dyDescent="0.3">
      <c r="A270" s="42">
        <v>266</v>
      </c>
      <c r="B270" s="43" t="s">
        <v>587</v>
      </c>
      <c r="C270" s="44" t="s">
        <v>588</v>
      </c>
      <c r="D270" s="42" t="s">
        <v>194</v>
      </c>
      <c r="E270" s="46">
        <v>46125</v>
      </c>
      <c r="F270" s="26" t="s">
        <v>6222</v>
      </c>
      <c r="G270" s="26" t="s">
        <v>6224</v>
      </c>
      <c r="H270" s="26" t="s">
        <v>6223</v>
      </c>
      <c r="I270" s="26" t="s">
        <v>6225</v>
      </c>
      <c r="J270" s="26" t="s">
        <v>6224</v>
      </c>
      <c r="K270" s="27"/>
      <c r="L270" s="28" t="s">
        <v>6223</v>
      </c>
      <c r="M270" s="29" t="str">
        <f t="shared" si="21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2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3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4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5"/>
        <v/>
      </c>
    </row>
    <row r="271" spans="1:49" ht="18" customHeight="1" x14ac:dyDescent="0.3">
      <c r="A271" s="23">
        <v>267</v>
      </c>
      <c r="B271" s="24" t="s">
        <v>589</v>
      </c>
      <c r="C271" s="25" t="s">
        <v>590</v>
      </c>
      <c r="D271" s="23" t="s">
        <v>194</v>
      </c>
      <c r="E271" s="46">
        <v>46125</v>
      </c>
      <c r="F271" s="26" t="s">
        <v>6222</v>
      </c>
      <c r="G271" s="26" t="s">
        <v>6224</v>
      </c>
      <c r="H271" s="26" t="s">
        <v>6223</v>
      </c>
      <c r="I271" s="26" t="s">
        <v>6225</v>
      </c>
      <c r="J271" s="26" t="s">
        <v>6224</v>
      </c>
      <c r="K271" s="27"/>
      <c r="L271" s="28" t="s">
        <v>6223</v>
      </c>
      <c r="M271" s="29" t="str">
        <f t="shared" si="21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2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3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4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5"/>
        <v/>
      </c>
    </row>
    <row r="272" spans="1:49" ht="18" customHeight="1" x14ac:dyDescent="0.3">
      <c r="A272" s="42">
        <v>268</v>
      </c>
      <c r="B272" s="43" t="s">
        <v>591</v>
      </c>
      <c r="C272" s="44" t="s">
        <v>592</v>
      </c>
      <c r="D272" s="42" t="s">
        <v>194</v>
      </c>
      <c r="E272" s="46">
        <v>46125</v>
      </c>
      <c r="F272" s="26" t="s">
        <v>6222</v>
      </c>
      <c r="G272" s="26" t="s">
        <v>6224</v>
      </c>
      <c r="H272" s="26" t="s">
        <v>6223</v>
      </c>
      <c r="I272" s="26" t="s">
        <v>6225</v>
      </c>
      <c r="J272" s="26" t="s">
        <v>6224</v>
      </c>
      <c r="K272" s="27"/>
      <c r="L272" s="28" t="s">
        <v>6223</v>
      </c>
      <c r="M272" s="29" t="str">
        <f t="shared" si="21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2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3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4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5"/>
        <v/>
      </c>
    </row>
    <row r="273" spans="1:49" ht="18" customHeight="1" x14ac:dyDescent="0.3">
      <c r="A273" s="23">
        <v>269</v>
      </c>
      <c r="B273" s="24" t="s">
        <v>593</v>
      </c>
      <c r="C273" s="25" t="s">
        <v>594</v>
      </c>
      <c r="D273" s="23" t="s">
        <v>194</v>
      </c>
      <c r="E273" s="46">
        <v>46125</v>
      </c>
      <c r="F273" s="26" t="s">
        <v>6222</v>
      </c>
      <c r="G273" s="26" t="s">
        <v>6224</v>
      </c>
      <c r="H273" s="26" t="s">
        <v>6223</v>
      </c>
      <c r="I273" s="26" t="s">
        <v>6225</v>
      </c>
      <c r="J273" s="26" t="s">
        <v>6224</v>
      </c>
      <c r="K273" s="27"/>
      <c r="L273" s="28" t="s">
        <v>6223</v>
      </c>
      <c r="M273" s="29" t="str">
        <f t="shared" si="21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2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3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4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5"/>
        <v/>
      </c>
    </row>
    <row r="274" spans="1:49" ht="18" customHeight="1" x14ac:dyDescent="0.3">
      <c r="A274" s="42">
        <v>270</v>
      </c>
      <c r="B274" s="43" t="s">
        <v>595</v>
      </c>
      <c r="C274" s="44" t="s">
        <v>596</v>
      </c>
      <c r="D274" s="42" t="s">
        <v>194</v>
      </c>
      <c r="E274" s="46">
        <v>46125</v>
      </c>
      <c r="F274" s="26" t="s">
        <v>6222</v>
      </c>
      <c r="G274" s="26" t="s">
        <v>6224</v>
      </c>
      <c r="H274" s="26" t="s">
        <v>6223</v>
      </c>
      <c r="I274" s="26" t="s">
        <v>6225</v>
      </c>
      <c r="J274" s="26" t="s">
        <v>6224</v>
      </c>
      <c r="K274" s="27"/>
      <c r="L274" s="28" t="s">
        <v>6223</v>
      </c>
      <c r="M274" s="29" t="str">
        <f t="shared" si="21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2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3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4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5"/>
        <v/>
      </c>
    </row>
    <row r="275" spans="1:49" ht="18" customHeight="1" x14ac:dyDescent="0.3">
      <c r="A275" s="23">
        <v>271</v>
      </c>
      <c r="B275" s="24" t="s">
        <v>597</v>
      </c>
      <c r="C275" s="25" t="s">
        <v>598</v>
      </c>
      <c r="D275" s="23" t="s">
        <v>194</v>
      </c>
      <c r="E275" s="46">
        <v>46125</v>
      </c>
      <c r="F275" s="26" t="s">
        <v>6222</v>
      </c>
      <c r="G275" s="26" t="s">
        <v>6224</v>
      </c>
      <c r="H275" s="26" t="s">
        <v>6223</v>
      </c>
      <c r="I275" s="26" t="s">
        <v>6225</v>
      </c>
      <c r="J275" s="26" t="s">
        <v>6224</v>
      </c>
      <c r="K275" s="27"/>
      <c r="L275" s="28" t="s">
        <v>6223</v>
      </c>
      <c r="M275" s="29" t="str">
        <f t="shared" si="21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2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3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4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5"/>
        <v/>
      </c>
    </row>
    <row r="276" spans="1:49" ht="18" customHeight="1" x14ac:dyDescent="0.3">
      <c r="A276" s="42">
        <v>272</v>
      </c>
      <c r="B276" s="43" t="s">
        <v>599</v>
      </c>
      <c r="C276" s="44" t="s">
        <v>600</v>
      </c>
      <c r="D276" s="42" t="s">
        <v>194</v>
      </c>
      <c r="E276" s="46">
        <v>46125</v>
      </c>
      <c r="F276" s="26" t="s">
        <v>6222</v>
      </c>
      <c r="G276" s="26" t="s">
        <v>6224</v>
      </c>
      <c r="H276" s="26" t="s">
        <v>6223</v>
      </c>
      <c r="I276" s="26" t="s">
        <v>6226</v>
      </c>
      <c r="J276" s="26" t="s">
        <v>6223</v>
      </c>
      <c r="K276" s="27" t="s">
        <v>6231</v>
      </c>
      <c r="L276" s="28" t="s">
        <v>6224</v>
      </c>
      <c r="M276" s="29" t="str">
        <f t="shared" si="21"/>
        <v>⚠ Check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2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3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4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5"/>
        <v/>
      </c>
    </row>
    <row r="277" spans="1:49" ht="18" customHeight="1" x14ac:dyDescent="0.3">
      <c r="A277" s="23">
        <v>273</v>
      </c>
      <c r="B277" s="24" t="s">
        <v>601</v>
      </c>
      <c r="C277" s="25" t="s">
        <v>602</v>
      </c>
      <c r="D277" s="23" t="s">
        <v>194</v>
      </c>
      <c r="E277" s="46">
        <v>46125</v>
      </c>
      <c r="F277" s="26" t="s">
        <v>6222</v>
      </c>
      <c r="G277" s="26" t="s">
        <v>6224</v>
      </c>
      <c r="H277" s="26" t="s">
        <v>6223</v>
      </c>
      <c r="I277" s="26" t="s">
        <v>6225</v>
      </c>
      <c r="J277" s="26" t="s">
        <v>6224</v>
      </c>
      <c r="K277" s="27"/>
      <c r="L277" s="28" t="s">
        <v>6223</v>
      </c>
      <c r="M277" s="29" t="str">
        <f t="shared" si="21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2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3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4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5"/>
        <v/>
      </c>
    </row>
    <row r="278" spans="1:49" ht="18" customHeight="1" x14ac:dyDescent="0.3">
      <c r="A278" s="42">
        <v>274</v>
      </c>
      <c r="B278" s="43" t="s">
        <v>603</v>
      </c>
      <c r="C278" s="44" t="s">
        <v>604</v>
      </c>
      <c r="D278" s="42" t="s">
        <v>194</v>
      </c>
      <c r="E278" s="46">
        <v>46125</v>
      </c>
      <c r="F278" s="26" t="s">
        <v>6222</v>
      </c>
      <c r="G278" s="26" t="s">
        <v>6223</v>
      </c>
      <c r="H278" s="26" t="s">
        <v>6223</v>
      </c>
      <c r="I278" s="26" t="s">
        <v>6228</v>
      </c>
      <c r="J278" s="26" t="s">
        <v>6223</v>
      </c>
      <c r="K278" s="27"/>
      <c r="L278" s="28" t="s">
        <v>6224</v>
      </c>
      <c r="M278" s="29" t="str">
        <f t="shared" si="21"/>
        <v>⚠ Missing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2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3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4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5"/>
        <v/>
      </c>
    </row>
    <row r="279" spans="1:49" ht="18" customHeight="1" x14ac:dyDescent="0.3">
      <c r="A279" s="23">
        <v>275</v>
      </c>
      <c r="B279" s="24" t="s">
        <v>605</v>
      </c>
      <c r="C279" s="25" t="s">
        <v>606</v>
      </c>
      <c r="D279" s="23" t="s">
        <v>194</v>
      </c>
      <c r="E279" s="46">
        <v>46125</v>
      </c>
      <c r="F279" s="26" t="s">
        <v>6222</v>
      </c>
      <c r="G279" s="26" t="s">
        <v>6224</v>
      </c>
      <c r="H279" s="26" t="s">
        <v>6223</v>
      </c>
      <c r="I279" s="26" t="s">
        <v>6225</v>
      </c>
      <c r="J279" s="26" t="s">
        <v>6224</v>
      </c>
      <c r="K279" s="27"/>
      <c r="L279" s="28" t="s">
        <v>6223</v>
      </c>
      <c r="M279" s="29" t="str">
        <f t="shared" si="21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2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3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4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5"/>
        <v/>
      </c>
    </row>
    <row r="280" spans="1:49" ht="18" customHeight="1" x14ac:dyDescent="0.3">
      <c r="A280" s="42">
        <v>276</v>
      </c>
      <c r="B280" s="43" t="s">
        <v>607</v>
      </c>
      <c r="C280" s="44" t="s">
        <v>608</v>
      </c>
      <c r="D280" s="42" t="s">
        <v>194</v>
      </c>
      <c r="E280" s="46">
        <v>46125</v>
      </c>
      <c r="F280" s="26" t="s">
        <v>6222</v>
      </c>
      <c r="G280" s="26" t="s">
        <v>6224</v>
      </c>
      <c r="H280" s="26" t="s">
        <v>6223</v>
      </c>
      <c r="I280" s="26" t="s">
        <v>6225</v>
      </c>
      <c r="J280" s="26" t="s">
        <v>6224</v>
      </c>
      <c r="K280" s="27"/>
      <c r="L280" s="28" t="s">
        <v>6223</v>
      </c>
      <c r="M280" s="29" t="str">
        <f t="shared" si="21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2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3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4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5"/>
        <v/>
      </c>
    </row>
    <row r="281" spans="1:49" ht="18" customHeight="1" x14ac:dyDescent="0.3">
      <c r="A281" s="23">
        <v>277</v>
      </c>
      <c r="B281" s="24" t="s">
        <v>609</v>
      </c>
      <c r="C281" s="25" t="s">
        <v>610</v>
      </c>
      <c r="D281" s="23" t="s">
        <v>194</v>
      </c>
      <c r="E281" s="46">
        <v>46125</v>
      </c>
      <c r="F281" s="26" t="s">
        <v>6222</v>
      </c>
      <c r="G281" s="26" t="s">
        <v>6224</v>
      </c>
      <c r="H281" s="26" t="s">
        <v>6223</v>
      </c>
      <c r="I281" s="26" t="s">
        <v>6225</v>
      </c>
      <c r="J281" s="26" t="s">
        <v>6224</v>
      </c>
      <c r="K281" s="27"/>
      <c r="L281" s="28" t="s">
        <v>6223</v>
      </c>
      <c r="M281" s="29" t="str">
        <f t="shared" si="21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2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3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4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5"/>
        <v/>
      </c>
    </row>
    <row r="282" spans="1:49" ht="18" customHeight="1" x14ac:dyDescent="0.3">
      <c r="A282" s="42">
        <v>278</v>
      </c>
      <c r="B282" s="43" t="s">
        <v>611</v>
      </c>
      <c r="C282" s="44" t="s">
        <v>612</v>
      </c>
      <c r="D282" s="42" t="s">
        <v>194</v>
      </c>
      <c r="E282" s="46">
        <v>46125</v>
      </c>
      <c r="F282" s="26" t="s">
        <v>6222</v>
      </c>
      <c r="G282" s="26" t="s">
        <v>6224</v>
      </c>
      <c r="H282" s="26" t="s">
        <v>6223</v>
      </c>
      <c r="I282" s="26" t="s">
        <v>6225</v>
      </c>
      <c r="J282" s="26" t="s">
        <v>6224</v>
      </c>
      <c r="K282" s="27"/>
      <c r="L282" s="28" t="s">
        <v>6223</v>
      </c>
      <c r="M282" s="29" t="str">
        <f t="shared" si="21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2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3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4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5"/>
        <v/>
      </c>
    </row>
    <row r="283" spans="1:49" ht="18" customHeight="1" x14ac:dyDescent="0.3">
      <c r="A283" s="23">
        <v>279</v>
      </c>
      <c r="B283" s="24" t="s">
        <v>613</v>
      </c>
      <c r="C283" s="25" t="s">
        <v>614</v>
      </c>
      <c r="D283" s="23" t="s">
        <v>194</v>
      </c>
      <c r="E283" s="46">
        <v>46125</v>
      </c>
      <c r="F283" s="26" t="s">
        <v>6222</v>
      </c>
      <c r="G283" s="26" t="s">
        <v>6224</v>
      </c>
      <c r="H283" s="26" t="s">
        <v>6223</v>
      </c>
      <c r="I283" s="26" t="s">
        <v>6226</v>
      </c>
      <c r="J283" s="26" t="s">
        <v>6223</v>
      </c>
      <c r="K283" s="27" t="s">
        <v>6230</v>
      </c>
      <c r="L283" s="28" t="s">
        <v>6224</v>
      </c>
      <c r="M283" s="29" t="str">
        <f t="shared" si="21"/>
        <v>⚠ Check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2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3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4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5"/>
        <v/>
      </c>
    </row>
    <row r="284" spans="1:49" ht="18" customHeight="1" x14ac:dyDescent="0.3">
      <c r="A284" s="42">
        <v>280</v>
      </c>
      <c r="B284" s="43" t="s">
        <v>615</v>
      </c>
      <c r="C284" s="44" t="s">
        <v>616</v>
      </c>
      <c r="D284" s="42" t="s">
        <v>194</v>
      </c>
      <c r="E284" s="46">
        <v>46125</v>
      </c>
      <c r="F284" s="26" t="s">
        <v>6222</v>
      </c>
      <c r="G284" s="26" t="s">
        <v>6224</v>
      </c>
      <c r="H284" s="26" t="s">
        <v>6223</v>
      </c>
      <c r="I284" s="26" t="s">
        <v>6225</v>
      </c>
      <c r="J284" s="26" t="s">
        <v>6224</v>
      </c>
      <c r="K284" s="27"/>
      <c r="L284" s="28" t="s">
        <v>6223</v>
      </c>
      <c r="M284" s="29" t="str">
        <f t="shared" si="21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2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3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4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5"/>
        <v/>
      </c>
    </row>
    <row r="285" spans="1:49" ht="18" customHeight="1" x14ac:dyDescent="0.3">
      <c r="A285" s="23">
        <v>281</v>
      </c>
      <c r="B285" s="24" t="s">
        <v>617</v>
      </c>
      <c r="C285" s="25" t="s">
        <v>618</v>
      </c>
      <c r="D285" s="23" t="s">
        <v>194</v>
      </c>
      <c r="E285" s="46">
        <v>46125</v>
      </c>
      <c r="F285" s="26" t="s">
        <v>6222</v>
      </c>
      <c r="G285" s="26" t="s">
        <v>6224</v>
      </c>
      <c r="H285" s="26" t="s">
        <v>6223</v>
      </c>
      <c r="I285" s="26" t="s">
        <v>6225</v>
      </c>
      <c r="J285" s="26" t="s">
        <v>6224</v>
      </c>
      <c r="K285" s="27" t="s">
        <v>6229</v>
      </c>
      <c r="L285" s="28" t="s">
        <v>6224</v>
      </c>
      <c r="M285" s="29" t="str">
        <f t="shared" si="21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2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3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4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5"/>
        <v/>
      </c>
    </row>
    <row r="286" spans="1:49" ht="18" customHeight="1" x14ac:dyDescent="0.3">
      <c r="A286" s="42">
        <v>282</v>
      </c>
      <c r="B286" s="43" t="s">
        <v>619</v>
      </c>
      <c r="C286" s="44" t="s">
        <v>620</v>
      </c>
      <c r="D286" s="42" t="s">
        <v>194</v>
      </c>
      <c r="E286" s="46">
        <v>46125</v>
      </c>
      <c r="F286" s="26" t="s">
        <v>6222</v>
      </c>
      <c r="G286" s="26" t="s">
        <v>6224</v>
      </c>
      <c r="H286" s="26" t="s">
        <v>6223</v>
      </c>
      <c r="I286" s="26" t="s">
        <v>6226</v>
      </c>
      <c r="J286" s="26" t="s">
        <v>6223</v>
      </c>
      <c r="K286" s="27" t="s">
        <v>6230</v>
      </c>
      <c r="L286" s="28" t="s">
        <v>6224</v>
      </c>
      <c r="M286" s="29" t="str">
        <f t="shared" si="21"/>
        <v>⚠ Check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2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3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4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5"/>
        <v/>
      </c>
    </row>
    <row r="287" spans="1:49" ht="18" customHeight="1" x14ac:dyDescent="0.3">
      <c r="A287" s="23">
        <v>283</v>
      </c>
      <c r="B287" s="24" t="s">
        <v>621</v>
      </c>
      <c r="C287" s="25" t="s">
        <v>622</v>
      </c>
      <c r="D287" s="23" t="s">
        <v>194</v>
      </c>
      <c r="E287" s="46">
        <v>46125</v>
      </c>
      <c r="F287" s="26" t="s">
        <v>6222</v>
      </c>
      <c r="G287" s="26" t="s">
        <v>6224</v>
      </c>
      <c r="H287" s="26" t="s">
        <v>6223</v>
      </c>
      <c r="I287" s="26" t="s">
        <v>6225</v>
      </c>
      <c r="J287" s="26" t="s">
        <v>6224</v>
      </c>
      <c r="K287" s="27"/>
      <c r="L287" s="28" t="s">
        <v>6223</v>
      </c>
      <c r="M287" s="29" t="str">
        <f t="shared" si="21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2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3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4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5"/>
        <v/>
      </c>
    </row>
    <row r="288" spans="1:49" ht="18" customHeight="1" x14ac:dyDescent="0.3">
      <c r="A288" s="42">
        <v>284</v>
      </c>
      <c r="B288" s="43" t="s">
        <v>623</v>
      </c>
      <c r="C288" s="44" t="s">
        <v>624</v>
      </c>
      <c r="D288" s="42" t="s">
        <v>194</v>
      </c>
      <c r="E288" s="46">
        <v>46125</v>
      </c>
      <c r="F288" s="26" t="s">
        <v>6222</v>
      </c>
      <c r="G288" s="26" t="s">
        <v>6224</v>
      </c>
      <c r="H288" s="26" t="s">
        <v>6223</v>
      </c>
      <c r="I288" s="26" t="s">
        <v>6226</v>
      </c>
      <c r="J288" s="26" t="s">
        <v>6223</v>
      </c>
      <c r="K288" s="27" t="s">
        <v>6227</v>
      </c>
      <c r="L288" s="28" t="s">
        <v>6224</v>
      </c>
      <c r="M288" s="29" t="str">
        <f t="shared" si="21"/>
        <v>⚠ Check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2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3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4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5"/>
        <v/>
      </c>
    </row>
    <row r="289" spans="1:49" ht="18" customHeight="1" x14ac:dyDescent="0.3">
      <c r="A289" s="23">
        <v>285</v>
      </c>
      <c r="B289" s="24" t="s">
        <v>625</v>
      </c>
      <c r="C289" s="25" t="s">
        <v>626</v>
      </c>
      <c r="D289" s="23" t="s">
        <v>194</v>
      </c>
      <c r="E289" s="46">
        <v>46125</v>
      </c>
      <c r="F289" s="26" t="s">
        <v>6222</v>
      </c>
      <c r="G289" s="26" t="s">
        <v>6224</v>
      </c>
      <c r="H289" s="26" t="s">
        <v>6223</v>
      </c>
      <c r="I289" s="26" t="s">
        <v>6225</v>
      </c>
      <c r="J289" s="26" t="s">
        <v>6224</v>
      </c>
      <c r="K289" s="27"/>
      <c r="L289" s="28" t="s">
        <v>6223</v>
      </c>
      <c r="M289" s="29" t="str">
        <f t="shared" si="21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2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3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4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5"/>
        <v/>
      </c>
    </row>
    <row r="290" spans="1:49" ht="18" customHeight="1" x14ac:dyDescent="0.3">
      <c r="A290" s="42">
        <v>286</v>
      </c>
      <c r="B290" s="43" t="s">
        <v>627</v>
      </c>
      <c r="C290" s="44" t="s">
        <v>628</v>
      </c>
      <c r="D290" s="42" t="s">
        <v>194</v>
      </c>
      <c r="E290" s="46">
        <v>46125</v>
      </c>
      <c r="F290" s="26" t="s">
        <v>6222</v>
      </c>
      <c r="G290" s="26" t="s">
        <v>6224</v>
      </c>
      <c r="H290" s="26" t="s">
        <v>6223</v>
      </c>
      <c r="I290" s="26" t="s">
        <v>6225</v>
      </c>
      <c r="J290" s="26" t="s">
        <v>6224</v>
      </c>
      <c r="K290" s="27"/>
      <c r="L290" s="28" t="s">
        <v>6223</v>
      </c>
      <c r="M290" s="29" t="str">
        <f t="shared" si="21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2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3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4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5"/>
        <v/>
      </c>
    </row>
    <row r="291" spans="1:49" ht="18" customHeight="1" x14ac:dyDescent="0.3">
      <c r="A291" s="23">
        <v>287</v>
      </c>
      <c r="B291" s="24" t="s">
        <v>629</v>
      </c>
      <c r="C291" s="25" t="s">
        <v>630</v>
      </c>
      <c r="D291" s="23" t="s">
        <v>194</v>
      </c>
      <c r="E291" s="46">
        <v>46125</v>
      </c>
      <c r="F291" s="26" t="s">
        <v>6222</v>
      </c>
      <c r="G291" s="26" t="s">
        <v>6224</v>
      </c>
      <c r="H291" s="26" t="s">
        <v>6223</v>
      </c>
      <c r="I291" s="26" t="s">
        <v>6225</v>
      </c>
      <c r="J291" s="26" t="s">
        <v>6224</v>
      </c>
      <c r="K291" s="27" t="s">
        <v>6229</v>
      </c>
      <c r="L291" s="28" t="s">
        <v>6223</v>
      </c>
      <c r="M291" s="29" t="str">
        <f t="shared" si="21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2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3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4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5"/>
        <v/>
      </c>
    </row>
    <row r="292" spans="1:49" ht="18" customHeight="1" x14ac:dyDescent="0.3">
      <c r="A292" s="42">
        <v>288</v>
      </c>
      <c r="B292" s="43" t="s">
        <v>631</v>
      </c>
      <c r="C292" s="44" t="s">
        <v>632</v>
      </c>
      <c r="D292" s="42" t="s">
        <v>194</v>
      </c>
      <c r="E292" s="46">
        <v>46125</v>
      </c>
      <c r="F292" s="26" t="s">
        <v>6222</v>
      </c>
      <c r="G292" s="26" t="s">
        <v>6224</v>
      </c>
      <c r="H292" s="26" t="s">
        <v>6223</v>
      </c>
      <c r="I292" s="26" t="s">
        <v>6225</v>
      </c>
      <c r="J292" s="26" t="s">
        <v>6224</v>
      </c>
      <c r="K292" s="27" t="s">
        <v>6229</v>
      </c>
      <c r="L292" s="28" t="s">
        <v>6224</v>
      </c>
      <c r="M292" s="29" t="str">
        <f t="shared" si="21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2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3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4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5"/>
        <v/>
      </c>
    </row>
    <row r="293" spans="1:49" ht="18" customHeight="1" x14ac:dyDescent="0.3">
      <c r="A293" s="23">
        <v>289</v>
      </c>
      <c r="B293" s="24" t="s">
        <v>633</v>
      </c>
      <c r="C293" s="25" t="s">
        <v>634</v>
      </c>
      <c r="D293" s="23" t="s">
        <v>194</v>
      </c>
      <c r="E293" s="46">
        <v>46125</v>
      </c>
      <c r="F293" s="26" t="s">
        <v>6222</v>
      </c>
      <c r="G293" s="26" t="s">
        <v>6224</v>
      </c>
      <c r="H293" s="26" t="s">
        <v>6223</v>
      </c>
      <c r="I293" s="26" t="s">
        <v>6225</v>
      </c>
      <c r="J293" s="26" t="s">
        <v>6224</v>
      </c>
      <c r="K293" s="27" t="s">
        <v>6229</v>
      </c>
      <c r="L293" s="28" t="s">
        <v>6224</v>
      </c>
      <c r="M293" s="29" t="str">
        <f t="shared" si="21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2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3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4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5"/>
        <v/>
      </c>
    </row>
    <row r="294" spans="1:49" ht="18" customHeight="1" x14ac:dyDescent="0.3">
      <c r="A294" s="42">
        <v>290</v>
      </c>
      <c r="B294" s="43" t="s">
        <v>635</v>
      </c>
      <c r="C294" s="44" t="s">
        <v>636</v>
      </c>
      <c r="D294" s="42" t="s">
        <v>194</v>
      </c>
      <c r="E294" s="46">
        <v>46125</v>
      </c>
      <c r="F294" s="26" t="s">
        <v>6222</v>
      </c>
      <c r="G294" s="26" t="s">
        <v>6224</v>
      </c>
      <c r="H294" s="26" t="s">
        <v>6223</v>
      </c>
      <c r="I294" s="26" t="s">
        <v>6225</v>
      </c>
      <c r="J294" s="26" t="s">
        <v>6224</v>
      </c>
      <c r="K294" s="27"/>
      <c r="L294" s="28" t="s">
        <v>6223</v>
      </c>
      <c r="M294" s="29" t="str">
        <f t="shared" si="21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2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3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4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5"/>
        <v/>
      </c>
    </row>
    <row r="295" spans="1:49" ht="18" customHeight="1" x14ac:dyDescent="0.3">
      <c r="A295" s="23">
        <v>291</v>
      </c>
      <c r="B295" s="24" t="s">
        <v>637</v>
      </c>
      <c r="C295" s="25" t="s">
        <v>638</v>
      </c>
      <c r="D295" s="23" t="s">
        <v>194</v>
      </c>
      <c r="E295" s="46">
        <v>46125</v>
      </c>
      <c r="F295" s="26" t="s">
        <v>6222</v>
      </c>
      <c r="G295" s="26" t="s">
        <v>6224</v>
      </c>
      <c r="H295" s="26" t="s">
        <v>6223</v>
      </c>
      <c r="I295" s="26" t="s">
        <v>6226</v>
      </c>
      <c r="J295" s="26" t="s">
        <v>6223</v>
      </c>
      <c r="K295" s="27" t="s">
        <v>6231</v>
      </c>
      <c r="L295" s="28" t="s">
        <v>6224</v>
      </c>
      <c r="M295" s="29" t="str">
        <f t="shared" si="21"/>
        <v>⚠ Check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2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3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4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5"/>
        <v/>
      </c>
    </row>
    <row r="296" spans="1:49" ht="18" customHeight="1" x14ac:dyDescent="0.3">
      <c r="A296" s="42">
        <v>292</v>
      </c>
      <c r="B296" s="43" t="s">
        <v>639</v>
      </c>
      <c r="C296" s="44" t="s">
        <v>640</v>
      </c>
      <c r="D296" s="42" t="s">
        <v>194</v>
      </c>
      <c r="E296" s="46">
        <v>46125</v>
      </c>
      <c r="F296" s="26" t="s">
        <v>6222</v>
      </c>
      <c r="G296" s="26" t="s">
        <v>6224</v>
      </c>
      <c r="H296" s="26" t="s">
        <v>6223</v>
      </c>
      <c r="I296" s="26" t="s">
        <v>6225</v>
      </c>
      <c r="J296" s="26" t="s">
        <v>6224</v>
      </c>
      <c r="K296" s="27" t="s">
        <v>6229</v>
      </c>
      <c r="L296" s="28" t="s">
        <v>6224</v>
      </c>
      <c r="M296" s="29" t="str">
        <f t="shared" si="21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2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3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4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5"/>
        <v/>
      </c>
    </row>
  </sheetData>
  <autoFilter ref="A4:AW296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557" priority="46">
      <formula>MOD(ROW(),2)=0</formula>
    </cfRule>
  </conditionalFormatting>
  <conditionalFormatting sqref="G5:G296">
    <cfRule type="expression" dxfId="556" priority="6">
      <formula>G5="No"</formula>
    </cfRule>
    <cfRule type="expression" dxfId="555" priority="5">
      <formula>G5="Yes"</formula>
    </cfRule>
  </conditionalFormatting>
  <conditionalFormatting sqref="H5:H296">
    <cfRule type="expression" dxfId="554" priority="7">
      <formula>H5="Yes"</formula>
    </cfRule>
  </conditionalFormatting>
  <conditionalFormatting sqref="J5:J296">
    <cfRule type="expression" dxfId="553" priority="8">
      <formula>J5="Yes"</formula>
    </cfRule>
    <cfRule type="expression" dxfId="552" priority="9">
      <formula>J5="No"</formula>
    </cfRule>
  </conditionalFormatting>
  <conditionalFormatting sqref="M5:M296">
    <cfRule type="expression" dxfId="551" priority="2">
      <formula>M5="❌ Disc"</formula>
    </cfRule>
    <cfRule type="expression" dxfId="550" priority="3">
      <formula>M5="⚠ Missing"</formula>
    </cfRule>
    <cfRule type="expression" dxfId="549" priority="4">
      <formula>M5="⚠ Check"</formula>
    </cfRule>
    <cfRule type="expression" dxfId="548" priority="1">
      <formula>M5="✓ OK"</formula>
    </cfRule>
  </conditionalFormatting>
  <conditionalFormatting sqref="P5:P296">
    <cfRule type="expression" dxfId="547" priority="14">
      <formula>P5="Yes"</formula>
    </cfRule>
    <cfRule type="expression" dxfId="546" priority="15">
      <formula>P5="No"</formula>
    </cfRule>
  </conditionalFormatting>
  <conditionalFormatting sqref="Q5:Q296">
    <cfRule type="expression" dxfId="545" priority="16">
      <formula>Q5="Yes"</formula>
    </cfRule>
  </conditionalFormatting>
  <conditionalFormatting sqref="S5:S296">
    <cfRule type="expression" dxfId="544" priority="17">
      <formula>S5="Yes"</formula>
    </cfRule>
    <cfRule type="expression" dxfId="543" priority="18">
      <formula>S5="No"</formula>
    </cfRule>
  </conditionalFormatting>
  <conditionalFormatting sqref="V5:V296">
    <cfRule type="expression" dxfId="542" priority="10">
      <formula>V5="✓ OK"</formula>
    </cfRule>
    <cfRule type="expression" dxfId="541" priority="11">
      <formula>V5="❌ Disc"</formula>
    </cfRule>
    <cfRule type="expression" dxfId="540" priority="12">
      <formula>V5="⚠ Missing"</formula>
    </cfRule>
    <cfRule type="expression" dxfId="539" priority="13">
      <formula>V5="⚠ Check"</formula>
    </cfRule>
  </conditionalFormatting>
  <conditionalFormatting sqref="Y5:Y296">
    <cfRule type="expression" dxfId="538" priority="24">
      <formula>Y5="No"</formula>
    </cfRule>
    <cfRule type="expression" dxfId="537" priority="23">
      <formula>Y5="Yes"</formula>
    </cfRule>
  </conditionalFormatting>
  <conditionalFormatting sqref="Z5:Z296">
    <cfRule type="expression" dxfId="536" priority="25">
      <formula>Z5="Yes"</formula>
    </cfRule>
  </conditionalFormatting>
  <conditionalFormatting sqref="AB5:AB296">
    <cfRule type="expression" dxfId="535" priority="26">
      <formula>AB5="Yes"</formula>
    </cfRule>
    <cfRule type="expression" dxfId="534" priority="27">
      <formula>AB5="No"</formula>
    </cfRule>
  </conditionalFormatting>
  <conditionalFormatting sqref="AE5:AE296">
    <cfRule type="expression" dxfId="533" priority="20">
      <formula>AE5="❌ Disc"</formula>
    </cfRule>
    <cfRule type="expression" dxfId="532" priority="21">
      <formula>AE5="⚠ Missing"</formula>
    </cfRule>
    <cfRule type="expression" dxfId="531" priority="22">
      <formula>AE5="⚠ Check"</formula>
    </cfRule>
    <cfRule type="expression" dxfId="530" priority="19">
      <formula>AE5="✓ OK"</formula>
    </cfRule>
  </conditionalFormatting>
  <conditionalFormatting sqref="AH5:AH296">
    <cfRule type="expression" dxfId="529" priority="32">
      <formula>AH5="Yes"</formula>
    </cfRule>
    <cfRule type="expression" dxfId="528" priority="33">
      <formula>AH5="No"</formula>
    </cfRule>
  </conditionalFormatting>
  <conditionalFormatting sqref="AI5:AI296">
    <cfRule type="expression" dxfId="527" priority="34">
      <formula>AI5="Yes"</formula>
    </cfRule>
  </conditionalFormatting>
  <conditionalFormatting sqref="AK5:AK296">
    <cfRule type="expression" dxfId="526" priority="35">
      <formula>AK5="Yes"</formula>
    </cfRule>
    <cfRule type="expression" dxfId="525" priority="36">
      <formula>AK5="No"</formula>
    </cfRule>
  </conditionalFormatting>
  <conditionalFormatting sqref="AN5:AN296">
    <cfRule type="expression" dxfId="524" priority="29">
      <formula>AN5="❌ Disc"</formula>
    </cfRule>
    <cfRule type="expression" dxfId="523" priority="30">
      <formula>AN5="⚠ Missing"</formula>
    </cfRule>
    <cfRule type="expression" dxfId="522" priority="31">
      <formula>AN5="⚠ Check"</formula>
    </cfRule>
    <cfRule type="expression" dxfId="521" priority="28">
      <formula>AN5="✓ OK"</formula>
    </cfRule>
  </conditionalFormatting>
  <conditionalFormatting sqref="AQ5:AQ296">
    <cfRule type="expression" dxfId="520" priority="42">
      <formula>AQ5="No"</formula>
    </cfRule>
    <cfRule type="expression" dxfId="519" priority="41">
      <formula>AQ5="Yes"</formula>
    </cfRule>
  </conditionalFormatting>
  <conditionalFormatting sqref="AR5:AR296">
    <cfRule type="expression" dxfId="518" priority="43">
      <formula>AR5="Yes"</formula>
    </cfRule>
  </conditionalFormatting>
  <conditionalFormatting sqref="AT5:AT296">
    <cfRule type="expression" dxfId="517" priority="44">
      <formula>AT5="Yes"</formula>
    </cfRule>
    <cfRule type="expression" dxfId="516" priority="45">
      <formula>AT5="No"</formula>
    </cfRule>
  </conditionalFormatting>
  <conditionalFormatting sqref="AW5:AW296">
    <cfRule type="expression" dxfId="515" priority="37">
      <formula>AW5="✓ OK"</formula>
    </cfRule>
    <cfRule type="expression" dxfId="514" priority="38">
      <formula>AW5="❌ Disc"</formula>
    </cfRule>
    <cfRule type="expression" dxfId="513" priority="39">
      <formula>AW5="⚠ Missing"</formula>
    </cfRule>
    <cfRule type="expression" dxfId="512" priority="40">
      <formula>AW5="⚠ Check"</formula>
    </cfRule>
  </conditionalFormatting>
  <dataValidations count="2">
    <dataValidation type="list" allowBlank="1" sqref="AT5:AT296 AQ5:AR296 AK5:AK296 AH5:AI296 AB5:AB296 Y5:Z296 S5:S296 P5:Q296 J5:J296 G5:H296" xr:uid="{00000000-0002-0000-0100-000000000000}">
      <formula1>"Yes,No"</formula1>
    </dataValidation>
    <dataValidation type="list" allowBlank="1" sqref="R5:R296 AS5:AS296 AJ5:AJ296 AA5:AA296 I5:I296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G5" sqref="G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641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642</v>
      </c>
      <c r="C5" s="25" t="s">
        <v>643</v>
      </c>
      <c r="D5" s="23" t="s">
        <v>644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645</v>
      </c>
      <c r="C6" s="44" t="s">
        <v>646</v>
      </c>
      <c r="D6" s="42" t="s">
        <v>644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647</v>
      </c>
      <c r="C7" s="25" t="s">
        <v>648</v>
      </c>
      <c r="D7" s="23" t="s">
        <v>644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649</v>
      </c>
      <c r="C8" s="44" t="s">
        <v>650</v>
      </c>
      <c r="D8" s="42" t="s">
        <v>644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651</v>
      </c>
      <c r="C9" s="25" t="s">
        <v>652</v>
      </c>
      <c r="D9" s="23" t="s">
        <v>644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653</v>
      </c>
      <c r="C10" s="44" t="s">
        <v>654</v>
      </c>
      <c r="D10" s="42" t="s">
        <v>644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655</v>
      </c>
      <c r="C11" s="25" t="s">
        <v>656</v>
      </c>
      <c r="D11" s="23" t="s">
        <v>644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657</v>
      </c>
      <c r="C12" s="44" t="s">
        <v>658</v>
      </c>
      <c r="D12" s="42" t="s">
        <v>644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659</v>
      </c>
      <c r="C13" s="25" t="s">
        <v>660</v>
      </c>
      <c r="D13" s="23" t="s">
        <v>644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661</v>
      </c>
      <c r="C14" s="44" t="s">
        <v>662</v>
      </c>
      <c r="D14" s="42" t="s">
        <v>644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663</v>
      </c>
      <c r="C15" s="25" t="s">
        <v>664</v>
      </c>
      <c r="D15" s="23" t="s">
        <v>644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665</v>
      </c>
      <c r="C16" s="44" t="s">
        <v>666</v>
      </c>
      <c r="D16" s="42" t="s">
        <v>644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667</v>
      </c>
      <c r="C17" s="25" t="s">
        <v>668</v>
      </c>
      <c r="D17" s="23" t="s">
        <v>644</v>
      </c>
      <c r="E17" s="46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669</v>
      </c>
      <c r="C18" s="44" t="s">
        <v>670</v>
      </c>
      <c r="D18" s="42" t="s">
        <v>644</v>
      </c>
      <c r="E18" s="46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671</v>
      </c>
      <c r="C19" s="25" t="s">
        <v>672</v>
      </c>
      <c r="D19" s="23" t="s">
        <v>644</v>
      </c>
      <c r="E19" s="46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673</v>
      </c>
      <c r="C20" s="44" t="s">
        <v>674</v>
      </c>
      <c r="D20" s="42" t="s">
        <v>644</v>
      </c>
      <c r="E20" s="46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675</v>
      </c>
      <c r="C21" s="25" t="s">
        <v>676</v>
      </c>
      <c r="D21" s="23" t="s">
        <v>644</v>
      </c>
      <c r="E21" s="46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677</v>
      </c>
      <c r="C22" s="44" t="s">
        <v>678</v>
      </c>
      <c r="D22" s="42" t="s">
        <v>644</v>
      </c>
      <c r="E22" s="46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679</v>
      </c>
      <c r="C23" s="25" t="s">
        <v>680</v>
      </c>
      <c r="D23" s="23" t="s">
        <v>644</v>
      </c>
      <c r="E23" s="46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681</v>
      </c>
      <c r="C24" s="44" t="s">
        <v>682</v>
      </c>
      <c r="D24" s="42" t="s">
        <v>644</v>
      </c>
      <c r="E24" s="46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683</v>
      </c>
      <c r="C25" s="25" t="s">
        <v>684</v>
      </c>
      <c r="D25" s="23" t="s">
        <v>644</v>
      </c>
      <c r="E25" s="46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685</v>
      </c>
      <c r="C26" s="44" t="s">
        <v>686</v>
      </c>
      <c r="D26" s="42" t="s">
        <v>644</v>
      </c>
      <c r="E26" s="46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687</v>
      </c>
      <c r="C27" s="25" t="s">
        <v>688</v>
      </c>
      <c r="D27" s="23" t="s">
        <v>644</v>
      </c>
      <c r="E27" s="46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689</v>
      </c>
      <c r="C28" s="44" t="s">
        <v>690</v>
      </c>
      <c r="D28" s="42" t="s">
        <v>644</v>
      </c>
      <c r="E28" s="46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691</v>
      </c>
      <c r="C29" s="25" t="s">
        <v>692</v>
      </c>
      <c r="D29" s="23" t="s">
        <v>693</v>
      </c>
      <c r="E29" s="46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694</v>
      </c>
      <c r="C30" s="44" t="s">
        <v>695</v>
      </c>
      <c r="D30" s="42" t="s">
        <v>693</v>
      </c>
      <c r="E30" s="46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696</v>
      </c>
      <c r="C31" s="25" t="s">
        <v>697</v>
      </c>
      <c r="D31" s="23" t="s">
        <v>693</v>
      </c>
      <c r="E31" s="46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698</v>
      </c>
      <c r="C32" s="44" t="s">
        <v>699</v>
      </c>
      <c r="D32" s="42" t="s">
        <v>693</v>
      </c>
      <c r="E32" s="46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700</v>
      </c>
      <c r="C33" s="25" t="s">
        <v>701</v>
      </c>
      <c r="D33" s="23" t="s">
        <v>693</v>
      </c>
      <c r="E33" s="46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702</v>
      </c>
      <c r="C34" s="44" t="s">
        <v>703</v>
      </c>
      <c r="D34" s="42" t="s">
        <v>693</v>
      </c>
      <c r="E34" s="46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704</v>
      </c>
      <c r="C35" s="25" t="s">
        <v>705</v>
      </c>
      <c r="D35" s="23" t="s">
        <v>693</v>
      </c>
      <c r="E35" s="46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706</v>
      </c>
      <c r="C36" s="44" t="s">
        <v>707</v>
      </c>
      <c r="D36" s="42" t="s">
        <v>693</v>
      </c>
      <c r="E36" s="46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708</v>
      </c>
      <c r="C37" s="25" t="s">
        <v>709</v>
      </c>
      <c r="D37" s="23" t="s">
        <v>693</v>
      </c>
      <c r="E37" s="46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ref="M37:M67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710</v>
      </c>
      <c r="C38" s="44" t="s">
        <v>711</v>
      </c>
      <c r="D38" s="42" t="s">
        <v>693</v>
      </c>
      <c r="E38" s="46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712</v>
      </c>
      <c r="C39" s="25" t="s">
        <v>713</v>
      </c>
      <c r="D39" s="23" t="s">
        <v>693</v>
      </c>
      <c r="E39" s="46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714</v>
      </c>
      <c r="C40" s="44" t="s">
        <v>715</v>
      </c>
      <c r="D40" s="42" t="s">
        <v>693</v>
      </c>
      <c r="E40" s="46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716</v>
      </c>
      <c r="C41" s="25" t="s">
        <v>717</v>
      </c>
      <c r="D41" s="23" t="s">
        <v>693</v>
      </c>
      <c r="E41" s="46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718</v>
      </c>
      <c r="C42" s="44" t="s">
        <v>719</v>
      </c>
      <c r="D42" s="42" t="s">
        <v>693</v>
      </c>
      <c r="E42" s="46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720</v>
      </c>
      <c r="C43" s="25" t="s">
        <v>721</v>
      </c>
      <c r="D43" s="23" t="s">
        <v>693</v>
      </c>
      <c r="E43" s="46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722</v>
      </c>
      <c r="C44" s="44" t="s">
        <v>723</v>
      </c>
      <c r="D44" s="42" t="s">
        <v>693</v>
      </c>
      <c r="E44" s="46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724</v>
      </c>
      <c r="C45" s="25" t="s">
        <v>725</v>
      </c>
      <c r="D45" s="23" t="s">
        <v>693</v>
      </c>
      <c r="E45" s="46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726</v>
      </c>
      <c r="C46" s="44" t="s">
        <v>727</v>
      </c>
      <c r="D46" s="42" t="s">
        <v>693</v>
      </c>
      <c r="E46" s="46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728</v>
      </c>
      <c r="C47" s="25" t="s">
        <v>729</v>
      </c>
      <c r="D47" s="23" t="s">
        <v>693</v>
      </c>
      <c r="E47" s="46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730</v>
      </c>
      <c r="C48" s="44" t="s">
        <v>731</v>
      </c>
      <c r="D48" s="42" t="s">
        <v>693</v>
      </c>
      <c r="E48" s="46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732</v>
      </c>
      <c r="C49" s="25" t="s">
        <v>733</v>
      </c>
      <c r="D49" s="23" t="s">
        <v>693</v>
      </c>
      <c r="E49" s="46">
        <v>46125</v>
      </c>
      <c r="F49" s="26" t="s">
        <v>6222</v>
      </c>
      <c r="G49" s="26" t="s">
        <v>6224</v>
      </c>
      <c r="H49" s="26" t="s">
        <v>6223</v>
      </c>
      <c r="I49" s="26" t="s">
        <v>6225</v>
      </c>
      <c r="J49" s="26" t="s">
        <v>6224</v>
      </c>
      <c r="K49" s="27"/>
      <c r="L49" s="28" t="s">
        <v>6223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734</v>
      </c>
      <c r="C50" s="44" t="s">
        <v>735</v>
      </c>
      <c r="D50" s="42" t="s">
        <v>693</v>
      </c>
      <c r="E50" s="46">
        <v>46125</v>
      </c>
      <c r="F50" s="26" t="s">
        <v>6222</v>
      </c>
      <c r="G50" s="26" t="s">
        <v>6224</v>
      </c>
      <c r="H50" s="26" t="s">
        <v>6223</v>
      </c>
      <c r="I50" s="26" t="s">
        <v>6225</v>
      </c>
      <c r="J50" s="26" t="s">
        <v>6224</v>
      </c>
      <c r="K50" s="27"/>
      <c r="L50" s="28" t="s">
        <v>6223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736</v>
      </c>
      <c r="C51" s="25" t="s">
        <v>737</v>
      </c>
      <c r="D51" s="23" t="s">
        <v>693</v>
      </c>
      <c r="E51" s="46">
        <v>46125</v>
      </c>
      <c r="F51" s="26" t="s">
        <v>6222</v>
      </c>
      <c r="G51" s="26" t="s">
        <v>6224</v>
      </c>
      <c r="H51" s="26" t="s">
        <v>6223</v>
      </c>
      <c r="I51" s="26" t="s">
        <v>6225</v>
      </c>
      <c r="J51" s="26" t="s">
        <v>6224</v>
      </c>
      <c r="K51" s="27"/>
      <c r="L51" s="28" t="s">
        <v>6223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738</v>
      </c>
      <c r="C52" s="44" t="s">
        <v>739</v>
      </c>
      <c r="D52" s="42" t="s">
        <v>693</v>
      </c>
      <c r="E52" s="46">
        <v>46125</v>
      </c>
      <c r="F52" s="26" t="s">
        <v>6222</v>
      </c>
      <c r="G52" s="26" t="s">
        <v>6224</v>
      </c>
      <c r="H52" s="26" t="s">
        <v>6223</v>
      </c>
      <c r="I52" s="26" t="s">
        <v>6225</v>
      </c>
      <c r="J52" s="26" t="s">
        <v>6224</v>
      </c>
      <c r="K52" s="27"/>
      <c r="L52" s="28" t="s">
        <v>6223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740</v>
      </c>
      <c r="C53" s="25" t="s">
        <v>741</v>
      </c>
      <c r="D53" s="23" t="s">
        <v>693</v>
      </c>
      <c r="E53" s="46">
        <v>46125</v>
      </c>
      <c r="F53" s="26" t="s">
        <v>6222</v>
      </c>
      <c r="G53" s="26" t="s">
        <v>6224</v>
      </c>
      <c r="H53" s="26" t="s">
        <v>6223</v>
      </c>
      <c r="I53" s="26" t="s">
        <v>6225</v>
      </c>
      <c r="J53" s="26" t="s">
        <v>6224</v>
      </c>
      <c r="K53" s="27"/>
      <c r="L53" s="28" t="s">
        <v>6223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742</v>
      </c>
      <c r="C54" s="44" t="s">
        <v>743</v>
      </c>
      <c r="D54" s="42" t="s">
        <v>693</v>
      </c>
      <c r="E54" s="46">
        <v>46125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744</v>
      </c>
      <c r="C55" s="25" t="s">
        <v>745</v>
      </c>
      <c r="D55" s="23" t="s">
        <v>693</v>
      </c>
      <c r="E55" s="46">
        <v>46125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746</v>
      </c>
      <c r="C56" s="44" t="s">
        <v>747</v>
      </c>
      <c r="D56" s="42" t="s">
        <v>693</v>
      </c>
      <c r="E56" s="46">
        <v>46125</v>
      </c>
      <c r="F56" s="26" t="s">
        <v>6222</v>
      </c>
      <c r="G56" s="26" t="s">
        <v>6224</v>
      </c>
      <c r="H56" s="26" t="s">
        <v>6223</v>
      </c>
      <c r="I56" s="26" t="s">
        <v>6225</v>
      </c>
      <c r="J56" s="26" t="s">
        <v>6224</v>
      </c>
      <c r="K56" s="27"/>
      <c r="L56" s="28" t="s">
        <v>6223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748</v>
      </c>
      <c r="C57" s="25" t="s">
        <v>749</v>
      </c>
      <c r="D57" s="23" t="s">
        <v>693</v>
      </c>
      <c r="E57" s="46">
        <v>46125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750</v>
      </c>
      <c r="C58" s="44" t="s">
        <v>751</v>
      </c>
      <c r="D58" s="42" t="s">
        <v>693</v>
      </c>
      <c r="E58" s="46">
        <v>46125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752</v>
      </c>
      <c r="C59" s="25" t="s">
        <v>753</v>
      </c>
      <c r="D59" s="23" t="s">
        <v>693</v>
      </c>
      <c r="E59" s="46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754</v>
      </c>
      <c r="C60" s="44" t="s">
        <v>755</v>
      </c>
      <c r="D60" s="42" t="s">
        <v>693</v>
      </c>
      <c r="E60" s="46">
        <v>46125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756</v>
      </c>
      <c r="C61" s="25" t="s">
        <v>757</v>
      </c>
      <c r="D61" s="23" t="s">
        <v>693</v>
      </c>
      <c r="E61" s="46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758</v>
      </c>
      <c r="C62" s="44" t="s">
        <v>759</v>
      </c>
      <c r="D62" s="42" t="s">
        <v>693</v>
      </c>
      <c r="E62" s="46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760</v>
      </c>
      <c r="C63" s="25" t="s">
        <v>761</v>
      </c>
      <c r="D63" s="23" t="s">
        <v>693</v>
      </c>
      <c r="E63" s="46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762</v>
      </c>
      <c r="C64" s="44" t="s">
        <v>763</v>
      </c>
      <c r="D64" s="42" t="s">
        <v>693</v>
      </c>
      <c r="E64" s="46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764</v>
      </c>
      <c r="C65" s="25" t="s">
        <v>765</v>
      </c>
      <c r="D65" s="23" t="s">
        <v>693</v>
      </c>
      <c r="E65" s="46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766</v>
      </c>
      <c r="C66" s="44" t="s">
        <v>767</v>
      </c>
      <c r="D66" s="42" t="s">
        <v>693</v>
      </c>
      <c r="E66" s="46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768</v>
      </c>
      <c r="C67" s="25" t="s">
        <v>769</v>
      </c>
      <c r="D67" s="23" t="s">
        <v>693</v>
      </c>
      <c r="E67" s="46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511" priority="46">
      <formula>MOD(ROW(),2)=0</formula>
    </cfRule>
  </conditionalFormatting>
  <conditionalFormatting sqref="G5:G67">
    <cfRule type="expression" dxfId="510" priority="6">
      <formula>G5="No"</formula>
    </cfRule>
    <cfRule type="expression" dxfId="509" priority="5">
      <formula>G5="Yes"</formula>
    </cfRule>
  </conditionalFormatting>
  <conditionalFormatting sqref="H5:H67">
    <cfRule type="expression" dxfId="508" priority="7">
      <formula>H5="Yes"</formula>
    </cfRule>
  </conditionalFormatting>
  <conditionalFormatting sqref="J5:J67">
    <cfRule type="expression" dxfId="507" priority="8">
      <formula>J5="Yes"</formula>
    </cfRule>
    <cfRule type="expression" dxfId="506" priority="9">
      <formula>J5="No"</formula>
    </cfRule>
  </conditionalFormatting>
  <conditionalFormatting sqref="M5:M67">
    <cfRule type="expression" dxfId="505" priority="2">
      <formula>M5="❌ Disc"</formula>
    </cfRule>
    <cfRule type="expression" dxfId="504" priority="3">
      <formula>M5="⚠ Missing"</formula>
    </cfRule>
    <cfRule type="expression" dxfId="503" priority="4">
      <formula>M5="⚠ Check"</formula>
    </cfRule>
    <cfRule type="expression" dxfId="502" priority="1">
      <formula>M5="✓ OK"</formula>
    </cfRule>
  </conditionalFormatting>
  <conditionalFormatting sqref="P5:P67">
    <cfRule type="expression" dxfId="501" priority="14">
      <formula>P5="Yes"</formula>
    </cfRule>
    <cfRule type="expression" dxfId="500" priority="15">
      <formula>P5="No"</formula>
    </cfRule>
  </conditionalFormatting>
  <conditionalFormatting sqref="Q5:Q67">
    <cfRule type="expression" dxfId="499" priority="16">
      <formula>Q5="Yes"</formula>
    </cfRule>
  </conditionalFormatting>
  <conditionalFormatting sqref="S5:S67">
    <cfRule type="expression" dxfId="498" priority="17">
      <formula>S5="Yes"</formula>
    </cfRule>
    <cfRule type="expression" dxfId="497" priority="18">
      <formula>S5="No"</formula>
    </cfRule>
  </conditionalFormatting>
  <conditionalFormatting sqref="V5:V67">
    <cfRule type="expression" dxfId="496" priority="10">
      <formula>V5="✓ OK"</formula>
    </cfRule>
    <cfRule type="expression" dxfId="495" priority="11">
      <formula>V5="❌ Disc"</formula>
    </cfRule>
    <cfRule type="expression" dxfId="494" priority="12">
      <formula>V5="⚠ Missing"</formula>
    </cfRule>
    <cfRule type="expression" dxfId="493" priority="13">
      <formula>V5="⚠ Check"</formula>
    </cfRule>
  </conditionalFormatting>
  <conditionalFormatting sqref="Y5:Y67">
    <cfRule type="expression" dxfId="492" priority="24">
      <formula>Y5="No"</formula>
    </cfRule>
    <cfRule type="expression" dxfId="491" priority="23">
      <formula>Y5="Yes"</formula>
    </cfRule>
  </conditionalFormatting>
  <conditionalFormatting sqref="Z5:Z67">
    <cfRule type="expression" dxfId="490" priority="25">
      <formula>Z5="Yes"</formula>
    </cfRule>
  </conditionalFormatting>
  <conditionalFormatting sqref="AB5:AB67">
    <cfRule type="expression" dxfId="489" priority="26">
      <formula>AB5="Yes"</formula>
    </cfRule>
    <cfRule type="expression" dxfId="488" priority="27">
      <formula>AB5="No"</formula>
    </cfRule>
  </conditionalFormatting>
  <conditionalFormatting sqref="AE5:AE67">
    <cfRule type="expression" dxfId="487" priority="20">
      <formula>AE5="❌ Disc"</formula>
    </cfRule>
    <cfRule type="expression" dxfId="486" priority="21">
      <formula>AE5="⚠ Missing"</formula>
    </cfRule>
    <cfRule type="expression" dxfId="485" priority="22">
      <formula>AE5="⚠ Check"</formula>
    </cfRule>
    <cfRule type="expression" dxfId="484" priority="19">
      <formula>AE5="✓ OK"</formula>
    </cfRule>
  </conditionalFormatting>
  <conditionalFormatting sqref="AH5:AH67">
    <cfRule type="expression" dxfId="483" priority="32">
      <formula>AH5="Yes"</formula>
    </cfRule>
    <cfRule type="expression" dxfId="482" priority="33">
      <formula>AH5="No"</formula>
    </cfRule>
  </conditionalFormatting>
  <conditionalFormatting sqref="AI5:AI67">
    <cfRule type="expression" dxfId="481" priority="34">
      <formula>AI5="Yes"</formula>
    </cfRule>
  </conditionalFormatting>
  <conditionalFormatting sqref="AK5:AK67">
    <cfRule type="expression" dxfId="480" priority="35">
      <formula>AK5="Yes"</formula>
    </cfRule>
    <cfRule type="expression" dxfId="479" priority="36">
      <formula>AK5="No"</formula>
    </cfRule>
  </conditionalFormatting>
  <conditionalFormatting sqref="AN5:AN67">
    <cfRule type="expression" dxfId="478" priority="29">
      <formula>AN5="❌ Disc"</formula>
    </cfRule>
    <cfRule type="expression" dxfId="477" priority="30">
      <formula>AN5="⚠ Missing"</formula>
    </cfRule>
    <cfRule type="expression" dxfId="476" priority="31">
      <formula>AN5="⚠ Check"</formula>
    </cfRule>
    <cfRule type="expression" dxfId="475" priority="28">
      <formula>AN5="✓ OK"</formula>
    </cfRule>
  </conditionalFormatting>
  <conditionalFormatting sqref="AQ5:AQ67">
    <cfRule type="expression" dxfId="474" priority="42">
      <formula>AQ5="No"</formula>
    </cfRule>
    <cfRule type="expression" dxfId="473" priority="41">
      <formula>AQ5="Yes"</formula>
    </cfRule>
  </conditionalFormatting>
  <conditionalFormatting sqref="AR5:AR67">
    <cfRule type="expression" dxfId="472" priority="43">
      <formula>AR5="Yes"</formula>
    </cfRule>
  </conditionalFormatting>
  <conditionalFormatting sqref="AT5:AT67">
    <cfRule type="expression" dxfId="471" priority="44">
      <formula>AT5="Yes"</formula>
    </cfRule>
    <cfRule type="expression" dxfId="470" priority="45">
      <formula>AT5="No"</formula>
    </cfRule>
  </conditionalFormatting>
  <conditionalFormatting sqref="AW5:AW67">
    <cfRule type="expression" dxfId="469" priority="37">
      <formula>AW5="✓ OK"</formula>
    </cfRule>
    <cfRule type="expression" dxfId="468" priority="38">
      <formula>AW5="❌ Disc"</formula>
    </cfRule>
    <cfRule type="expression" dxfId="467" priority="39">
      <formula>AW5="⚠ Missing"</formula>
    </cfRule>
    <cfRule type="expression" dxfId="466" priority="40">
      <formula>AW5="⚠ Check"</formula>
    </cfRule>
  </conditionalFormatting>
  <dataValidations count="2">
    <dataValidation type="list" allowBlank="1" sqref="AT5:AT67 AQ5:AR67 AK5:AK67 AH5:AI67 AB5:AB67 Y5:Z67 S5:S67 P5:Q67 G5:H67 J5:J67" xr:uid="{00000000-0002-0000-0200-000000000000}">
      <formula1>"Yes,No"</formula1>
    </dataValidation>
    <dataValidation type="list" allowBlank="1" sqref="R5:R67 AS5:AS67 AJ5:AJ67 AA5:AA67 I5:I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G5" sqref="G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26.7773437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770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771</v>
      </c>
      <c r="C5" s="25" t="s">
        <v>772</v>
      </c>
      <c r="D5" s="23" t="s">
        <v>773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774</v>
      </c>
      <c r="C6" s="44" t="s">
        <v>775</v>
      </c>
      <c r="D6" s="42" t="s">
        <v>773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776</v>
      </c>
      <c r="C7" s="25" t="s">
        <v>777</v>
      </c>
      <c r="D7" s="23" t="s">
        <v>773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778</v>
      </c>
      <c r="C8" s="44" t="s">
        <v>779</v>
      </c>
      <c r="D8" s="42" t="s">
        <v>773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780</v>
      </c>
      <c r="C9" s="25" t="s">
        <v>781</v>
      </c>
      <c r="D9" s="23" t="s">
        <v>773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782</v>
      </c>
      <c r="C10" s="44" t="s">
        <v>783</v>
      </c>
      <c r="D10" s="42" t="s">
        <v>773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784</v>
      </c>
      <c r="C11" s="25" t="s">
        <v>785</v>
      </c>
      <c r="D11" s="23" t="s">
        <v>773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786</v>
      </c>
      <c r="C12" s="44" t="s">
        <v>787</v>
      </c>
      <c r="D12" s="42" t="s">
        <v>773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788</v>
      </c>
      <c r="C13" s="25" t="s">
        <v>789</v>
      </c>
      <c r="D13" s="23" t="s">
        <v>773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790</v>
      </c>
      <c r="C14" s="44" t="s">
        <v>791</v>
      </c>
      <c r="D14" s="42" t="s">
        <v>773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792</v>
      </c>
      <c r="C15" s="25" t="s">
        <v>793</v>
      </c>
      <c r="D15" s="23" t="s">
        <v>773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794</v>
      </c>
      <c r="C16" s="44" t="s">
        <v>795</v>
      </c>
      <c r="D16" s="42" t="s">
        <v>773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796</v>
      </c>
      <c r="C17" s="25" t="s">
        <v>797</v>
      </c>
      <c r="D17" s="23" t="s">
        <v>773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798</v>
      </c>
      <c r="C18" s="44" t="s">
        <v>799</v>
      </c>
      <c r="D18" s="42" t="s">
        <v>773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800</v>
      </c>
      <c r="C19" s="25" t="s">
        <v>801</v>
      </c>
      <c r="D19" s="23" t="s">
        <v>773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802</v>
      </c>
      <c r="C20" s="44" t="s">
        <v>803</v>
      </c>
      <c r="D20" s="42" t="s">
        <v>773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804</v>
      </c>
      <c r="C21" s="25" t="s">
        <v>805</v>
      </c>
      <c r="D21" s="23" t="s">
        <v>773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806</v>
      </c>
      <c r="C22" s="44" t="s">
        <v>807</v>
      </c>
      <c r="D22" s="42" t="s">
        <v>773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808</v>
      </c>
      <c r="C23" s="25" t="s">
        <v>809</v>
      </c>
      <c r="D23" s="23" t="s">
        <v>773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810</v>
      </c>
      <c r="C24" s="44" t="s">
        <v>811</v>
      </c>
      <c r="D24" s="42" t="s">
        <v>773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812</v>
      </c>
      <c r="C25" s="25" t="s">
        <v>813</v>
      </c>
      <c r="D25" s="23" t="s">
        <v>773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814</v>
      </c>
      <c r="C26" s="44" t="s">
        <v>815</v>
      </c>
      <c r="D26" s="42" t="s">
        <v>773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816</v>
      </c>
      <c r="C27" s="25" t="s">
        <v>817</v>
      </c>
      <c r="D27" s="23" t="s">
        <v>773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818</v>
      </c>
      <c r="C28" s="44" t="s">
        <v>819</v>
      </c>
      <c r="D28" s="42" t="s">
        <v>773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820</v>
      </c>
      <c r="C29" s="25" t="s">
        <v>821</v>
      </c>
      <c r="D29" s="23" t="s">
        <v>773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822</v>
      </c>
      <c r="C30" s="44" t="s">
        <v>823</v>
      </c>
      <c r="D30" s="42" t="s">
        <v>773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824</v>
      </c>
      <c r="C31" s="25" t="s">
        <v>825</v>
      </c>
      <c r="D31" s="23" t="s">
        <v>826</v>
      </c>
      <c r="E31" s="46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827</v>
      </c>
      <c r="C32" s="44" t="s">
        <v>828</v>
      </c>
      <c r="D32" s="42" t="s">
        <v>826</v>
      </c>
      <c r="E32" s="46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829</v>
      </c>
      <c r="C33" s="25" t="s">
        <v>830</v>
      </c>
      <c r="D33" s="23" t="s">
        <v>826</v>
      </c>
      <c r="E33" s="46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831</v>
      </c>
      <c r="C34" s="44" t="s">
        <v>832</v>
      </c>
      <c r="D34" s="42" t="s">
        <v>826</v>
      </c>
      <c r="E34" s="46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833</v>
      </c>
      <c r="C35" s="25" t="s">
        <v>834</v>
      </c>
      <c r="D35" s="23" t="s">
        <v>826</v>
      </c>
      <c r="E35" s="46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835</v>
      </c>
      <c r="C36" s="44" t="s">
        <v>836</v>
      </c>
      <c r="D36" s="42" t="s">
        <v>826</v>
      </c>
      <c r="E36" s="46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837</v>
      </c>
      <c r="C37" s="25" t="s">
        <v>838</v>
      </c>
      <c r="D37" s="23" t="s">
        <v>826</v>
      </c>
      <c r="E37" s="46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839</v>
      </c>
      <c r="C38" s="44" t="s">
        <v>840</v>
      </c>
      <c r="D38" s="42" t="s">
        <v>826</v>
      </c>
      <c r="E38" s="46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841</v>
      </c>
      <c r="C39" s="25" t="s">
        <v>842</v>
      </c>
      <c r="D39" s="23" t="s">
        <v>826</v>
      </c>
      <c r="E39" s="46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843</v>
      </c>
      <c r="C40" s="44" t="s">
        <v>844</v>
      </c>
      <c r="D40" s="42" t="s">
        <v>826</v>
      </c>
      <c r="E40" s="46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845</v>
      </c>
      <c r="C41" s="25" t="s">
        <v>846</v>
      </c>
      <c r="D41" s="23" t="s">
        <v>826</v>
      </c>
      <c r="E41" s="46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847</v>
      </c>
      <c r="C42" s="44" t="s">
        <v>848</v>
      </c>
      <c r="D42" s="42" t="s">
        <v>826</v>
      </c>
      <c r="E42" s="46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849</v>
      </c>
      <c r="C43" s="25" t="s">
        <v>850</v>
      </c>
      <c r="D43" s="23" t="s">
        <v>826</v>
      </c>
      <c r="E43" s="46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851</v>
      </c>
      <c r="C44" s="44" t="s">
        <v>852</v>
      </c>
      <c r="D44" s="42" t="s">
        <v>826</v>
      </c>
      <c r="E44" s="46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853</v>
      </c>
      <c r="C45" s="25" t="s">
        <v>854</v>
      </c>
      <c r="D45" s="23" t="s">
        <v>826</v>
      </c>
      <c r="E45" s="46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855</v>
      </c>
      <c r="C46" s="44" t="s">
        <v>856</v>
      </c>
      <c r="D46" s="42" t="s">
        <v>826</v>
      </c>
      <c r="E46" s="46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857</v>
      </c>
      <c r="C47" s="25" t="s">
        <v>858</v>
      </c>
      <c r="D47" s="23" t="s">
        <v>826</v>
      </c>
      <c r="E47" s="46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859</v>
      </c>
      <c r="C48" s="44" t="s">
        <v>860</v>
      </c>
      <c r="D48" s="42" t="s">
        <v>826</v>
      </c>
      <c r="E48" s="46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861</v>
      </c>
      <c r="C49" s="25" t="s">
        <v>862</v>
      </c>
      <c r="D49" s="23" t="s">
        <v>826</v>
      </c>
      <c r="E49" s="46">
        <v>46125</v>
      </c>
      <c r="F49" s="26" t="s">
        <v>6222</v>
      </c>
      <c r="G49" s="26" t="s">
        <v>6224</v>
      </c>
      <c r="H49" s="26" t="s">
        <v>6223</v>
      </c>
      <c r="I49" s="26" t="s">
        <v>6225</v>
      </c>
      <c r="J49" s="26" t="s">
        <v>6224</v>
      </c>
      <c r="K49" s="27"/>
      <c r="L49" s="28" t="s">
        <v>6223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863</v>
      </c>
      <c r="C50" s="44" t="s">
        <v>864</v>
      </c>
      <c r="D50" s="42" t="s">
        <v>826</v>
      </c>
      <c r="E50" s="46">
        <v>46125</v>
      </c>
      <c r="F50" s="26" t="s">
        <v>6222</v>
      </c>
      <c r="G50" s="26" t="s">
        <v>6224</v>
      </c>
      <c r="H50" s="26" t="s">
        <v>6223</v>
      </c>
      <c r="I50" s="26" t="s">
        <v>6225</v>
      </c>
      <c r="J50" s="26" t="s">
        <v>6224</v>
      </c>
      <c r="K50" s="27"/>
      <c r="L50" s="28" t="s">
        <v>6223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865</v>
      </c>
      <c r="C51" s="25" t="s">
        <v>866</v>
      </c>
      <c r="D51" s="23" t="s">
        <v>826</v>
      </c>
      <c r="E51" s="46">
        <v>46125</v>
      </c>
      <c r="F51" s="26" t="s">
        <v>6222</v>
      </c>
      <c r="G51" s="26" t="s">
        <v>6224</v>
      </c>
      <c r="H51" s="26" t="s">
        <v>6223</v>
      </c>
      <c r="I51" s="26" t="s">
        <v>6225</v>
      </c>
      <c r="J51" s="26" t="s">
        <v>6224</v>
      </c>
      <c r="K51" s="27"/>
      <c r="L51" s="28" t="s">
        <v>6223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867</v>
      </c>
      <c r="C52" s="44" t="s">
        <v>868</v>
      </c>
      <c r="D52" s="42" t="s">
        <v>826</v>
      </c>
      <c r="E52" s="46">
        <v>46125</v>
      </c>
      <c r="F52" s="26" t="s">
        <v>6222</v>
      </c>
      <c r="G52" s="26" t="s">
        <v>6224</v>
      </c>
      <c r="H52" s="26" t="s">
        <v>6223</v>
      </c>
      <c r="I52" s="26" t="s">
        <v>6225</v>
      </c>
      <c r="J52" s="26" t="s">
        <v>6224</v>
      </c>
      <c r="K52" s="27"/>
      <c r="L52" s="28" t="s">
        <v>6223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869</v>
      </c>
      <c r="C53" s="25" t="s">
        <v>870</v>
      </c>
      <c r="D53" s="23" t="s">
        <v>826</v>
      </c>
      <c r="E53" s="46">
        <v>46125</v>
      </c>
      <c r="F53" s="26" t="s">
        <v>6222</v>
      </c>
      <c r="G53" s="26" t="s">
        <v>6224</v>
      </c>
      <c r="H53" s="26" t="s">
        <v>6223</v>
      </c>
      <c r="I53" s="26" t="s">
        <v>6225</v>
      </c>
      <c r="J53" s="26" t="s">
        <v>6224</v>
      </c>
      <c r="K53" s="27"/>
      <c r="L53" s="28" t="s">
        <v>6223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871</v>
      </c>
      <c r="C54" s="44" t="s">
        <v>872</v>
      </c>
      <c r="D54" s="42" t="s">
        <v>826</v>
      </c>
      <c r="E54" s="46">
        <v>46125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873</v>
      </c>
      <c r="C55" s="25" t="s">
        <v>873</v>
      </c>
      <c r="D55" s="23" t="s">
        <v>826</v>
      </c>
      <c r="E55" s="46">
        <v>46125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874</v>
      </c>
      <c r="C56" s="44" t="s">
        <v>875</v>
      </c>
      <c r="D56" s="42" t="s">
        <v>826</v>
      </c>
      <c r="E56" s="46">
        <v>46125</v>
      </c>
      <c r="F56" s="26" t="s">
        <v>6222</v>
      </c>
      <c r="G56" s="26" t="s">
        <v>6224</v>
      </c>
      <c r="H56" s="26" t="s">
        <v>6223</v>
      </c>
      <c r="I56" s="26" t="s">
        <v>6225</v>
      </c>
      <c r="J56" s="26" t="s">
        <v>6224</v>
      </c>
      <c r="K56" s="27"/>
      <c r="L56" s="28" t="s">
        <v>6223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876</v>
      </c>
      <c r="C57" s="25" t="s">
        <v>877</v>
      </c>
      <c r="D57" s="23" t="s">
        <v>826</v>
      </c>
      <c r="E57" s="46">
        <v>46125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878</v>
      </c>
      <c r="C58" s="44" t="s">
        <v>879</v>
      </c>
      <c r="D58" s="42" t="s">
        <v>826</v>
      </c>
      <c r="E58" s="46">
        <v>46125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880</v>
      </c>
      <c r="C59" s="25" t="s">
        <v>881</v>
      </c>
      <c r="D59" s="23" t="s">
        <v>826</v>
      </c>
      <c r="E59" s="46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882</v>
      </c>
      <c r="C60" s="44" t="s">
        <v>883</v>
      </c>
      <c r="D60" s="42" t="s">
        <v>826</v>
      </c>
      <c r="E60" s="46">
        <v>46125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884</v>
      </c>
      <c r="C61" s="25" t="s">
        <v>885</v>
      </c>
      <c r="D61" s="23" t="s">
        <v>826</v>
      </c>
      <c r="E61" s="46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886</v>
      </c>
      <c r="C62" s="44" t="s">
        <v>887</v>
      </c>
      <c r="D62" s="42" t="s">
        <v>826</v>
      </c>
      <c r="E62" s="46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888</v>
      </c>
      <c r="C63" s="25" t="s">
        <v>889</v>
      </c>
      <c r="D63" s="23" t="s">
        <v>826</v>
      </c>
      <c r="E63" s="46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890</v>
      </c>
      <c r="C64" s="44" t="s">
        <v>891</v>
      </c>
      <c r="D64" s="42" t="s">
        <v>826</v>
      </c>
      <c r="E64" s="46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892</v>
      </c>
      <c r="C65" s="25" t="s">
        <v>892</v>
      </c>
      <c r="D65" s="23" t="s">
        <v>826</v>
      </c>
      <c r="E65" s="46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893</v>
      </c>
      <c r="C66" s="44" t="s">
        <v>894</v>
      </c>
      <c r="D66" s="42" t="s">
        <v>826</v>
      </c>
      <c r="E66" s="46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895</v>
      </c>
      <c r="C67" s="25" t="s">
        <v>896</v>
      </c>
      <c r="D67" s="23" t="s">
        <v>826</v>
      </c>
      <c r="E67" s="46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897</v>
      </c>
      <c r="C68" s="44" t="s">
        <v>898</v>
      </c>
      <c r="D68" s="42" t="s">
        <v>826</v>
      </c>
      <c r="E68" s="46">
        <v>46125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899</v>
      </c>
      <c r="C69" s="25" t="s">
        <v>900</v>
      </c>
      <c r="D69" s="23" t="s">
        <v>826</v>
      </c>
      <c r="E69" s="46">
        <v>46125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ref="M69:M85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901</v>
      </c>
      <c r="C70" s="44" t="s">
        <v>902</v>
      </c>
      <c r="D70" s="42" t="s">
        <v>826</v>
      </c>
      <c r="E70" s="46">
        <v>46125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903</v>
      </c>
      <c r="C71" s="25" t="s">
        <v>904</v>
      </c>
      <c r="D71" s="23" t="s">
        <v>826</v>
      </c>
      <c r="E71" s="46">
        <v>46125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905</v>
      </c>
      <c r="C72" s="44" t="s">
        <v>906</v>
      </c>
      <c r="D72" s="42" t="s">
        <v>826</v>
      </c>
      <c r="E72" s="46">
        <v>46125</v>
      </c>
      <c r="F72" s="26" t="s">
        <v>6222</v>
      </c>
      <c r="G72" s="26" t="s">
        <v>6224</v>
      </c>
      <c r="H72" s="26" t="s">
        <v>6223</v>
      </c>
      <c r="I72" s="26" t="s">
        <v>6225</v>
      </c>
      <c r="J72" s="26" t="s">
        <v>6224</v>
      </c>
      <c r="K72" s="27"/>
      <c r="L72" s="28" t="s">
        <v>6223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907</v>
      </c>
      <c r="C73" s="25" t="s">
        <v>908</v>
      </c>
      <c r="D73" s="23" t="s">
        <v>826</v>
      </c>
      <c r="E73" s="46">
        <v>46125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909</v>
      </c>
      <c r="C74" s="44" t="s">
        <v>910</v>
      </c>
      <c r="D74" s="42" t="s">
        <v>826</v>
      </c>
      <c r="E74" s="46">
        <v>46125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911</v>
      </c>
      <c r="C75" s="25" t="s">
        <v>911</v>
      </c>
      <c r="D75" s="23" t="s">
        <v>826</v>
      </c>
      <c r="E75" s="46">
        <v>46125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912</v>
      </c>
      <c r="C76" s="44" t="s">
        <v>913</v>
      </c>
      <c r="D76" s="42" t="s">
        <v>826</v>
      </c>
      <c r="E76" s="46">
        <v>46125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914</v>
      </c>
      <c r="C77" s="25" t="s">
        <v>915</v>
      </c>
      <c r="D77" s="23" t="s">
        <v>826</v>
      </c>
      <c r="E77" s="46">
        <v>46125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916</v>
      </c>
      <c r="C78" s="44" t="s">
        <v>917</v>
      </c>
      <c r="D78" s="42" t="s">
        <v>826</v>
      </c>
      <c r="E78" s="46">
        <v>46125</v>
      </c>
      <c r="F78" s="26" t="s">
        <v>6222</v>
      </c>
      <c r="G78" s="26" t="s">
        <v>6224</v>
      </c>
      <c r="H78" s="26" t="s">
        <v>6223</v>
      </c>
      <c r="I78" s="26" t="s">
        <v>6225</v>
      </c>
      <c r="J78" s="26" t="s">
        <v>6224</v>
      </c>
      <c r="K78" s="27"/>
      <c r="L78" s="28" t="s">
        <v>6223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918</v>
      </c>
      <c r="C79" s="25" t="s">
        <v>919</v>
      </c>
      <c r="D79" s="23" t="s">
        <v>826</v>
      </c>
      <c r="E79" s="46">
        <v>46125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920</v>
      </c>
      <c r="C80" s="44" t="s">
        <v>921</v>
      </c>
      <c r="D80" s="42" t="s">
        <v>826</v>
      </c>
      <c r="E80" s="46">
        <v>46125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922</v>
      </c>
      <c r="C81" s="25" t="s">
        <v>923</v>
      </c>
      <c r="D81" s="23" t="s">
        <v>826</v>
      </c>
      <c r="E81" s="46">
        <v>46125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6223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924</v>
      </c>
      <c r="C82" s="44" t="s">
        <v>925</v>
      </c>
      <c r="D82" s="42" t="s">
        <v>826</v>
      </c>
      <c r="E82" s="46">
        <v>46125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926</v>
      </c>
      <c r="C83" s="25" t="s">
        <v>927</v>
      </c>
      <c r="D83" s="23" t="s">
        <v>826</v>
      </c>
      <c r="E83" s="46">
        <v>46125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928</v>
      </c>
      <c r="C84" s="44" t="s">
        <v>929</v>
      </c>
      <c r="D84" s="42" t="s">
        <v>826</v>
      </c>
      <c r="E84" s="46">
        <v>46125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930</v>
      </c>
      <c r="C85" s="25" t="s">
        <v>931</v>
      </c>
      <c r="D85" s="23" t="s">
        <v>826</v>
      </c>
      <c r="E85" s="46">
        <v>46125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autoFilter ref="A4:AW85" xr:uid="{00000000-0009-0000-0000-000003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5">
    <cfRule type="expression" dxfId="465" priority="46">
      <formula>MOD(ROW(),2)=0</formula>
    </cfRule>
  </conditionalFormatting>
  <conditionalFormatting sqref="G5:G85">
    <cfRule type="expression" dxfId="464" priority="6">
      <formula>G5="No"</formula>
    </cfRule>
    <cfRule type="expression" dxfId="463" priority="5">
      <formula>G5="Yes"</formula>
    </cfRule>
  </conditionalFormatting>
  <conditionalFormatting sqref="H5:H85">
    <cfRule type="expression" dxfId="462" priority="7">
      <formula>H5="Yes"</formula>
    </cfRule>
  </conditionalFormatting>
  <conditionalFormatting sqref="J5:J85">
    <cfRule type="expression" dxfId="461" priority="8">
      <formula>J5="Yes"</formula>
    </cfRule>
    <cfRule type="expression" dxfId="460" priority="9">
      <formula>J5="No"</formula>
    </cfRule>
  </conditionalFormatting>
  <conditionalFormatting sqref="M5:M85">
    <cfRule type="expression" dxfId="459" priority="2">
      <formula>M5="❌ Disc"</formula>
    </cfRule>
    <cfRule type="expression" dxfId="458" priority="3">
      <formula>M5="⚠ Missing"</formula>
    </cfRule>
    <cfRule type="expression" dxfId="457" priority="4">
      <formula>M5="⚠ Check"</formula>
    </cfRule>
    <cfRule type="expression" dxfId="456" priority="1">
      <formula>M5="✓ OK"</formula>
    </cfRule>
  </conditionalFormatting>
  <conditionalFormatting sqref="P5:P85">
    <cfRule type="expression" dxfId="455" priority="14">
      <formula>P5="Yes"</formula>
    </cfRule>
    <cfRule type="expression" dxfId="454" priority="15">
      <formula>P5="No"</formula>
    </cfRule>
  </conditionalFormatting>
  <conditionalFormatting sqref="Q5:Q85">
    <cfRule type="expression" dxfId="453" priority="16">
      <formula>Q5="Yes"</formula>
    </cfRule>
  </conditionalFormatting>
  <conditionalFormatting sqref="S5:S85">
    <cfRule type="expression" dxfId="452" priority="17">
      <formula>S5="Yes"</formula>
    </cfRule>
    <cfRule type="expression" dxfId="451" priority="18">
      <formula>S5="No"</formula>
    </cfRule>
  </conditionalFormatting>
  <conditionalFormatting sqref="V5:V85">
    <cfRule type="expression" dxfId="450" priority="10">
      <formula>V5="✓ OK"</formula>
    </cfRule>
    <cfRule type="expression" dxfId="449" priority="11">
      <formula>V5="❌ Disc"</formula>
    </cfRule>
    <cfRule type="expression" dxfId="448" priority="12">
      <formula>V5="⚠ Missing"</formula>
    </cfRule>
    <cfRule type="expression" dxfId="447" priority="13">
      <formula>V5="⚠ Check"</formula>
    </cfRule>
  </conditionalFormatting>
  <conditionalFormatting sqref="Y5:Y85">
    <cfRule type="expression" dxfId="446" priority="24">
      <formula>Y5="No"</formula>
    </cfRule>
    <cfRule type="expression" dxfId="445" priority="23">
      <formula>Y5="Yes"</formula>
    </cfRule>
  </conditionalFormatting>
  <conditionalFormatting sqref="Z5:Z85">
    <cfRule type="expression" dxfId="444" priority="25">
      <formula>Z5="Yes"</formula>
    </cfRule>
  </conditionalFormatting>
  <conditionalFormatting sqref="AB5:AB85">
    <cfRule type="expression" dxfId="443" priority="26">
      <formula>AB5="Yes"</formula>
    </cfRule>
    <cfRule type="expression" dxfId="442" priority="27">
      <formula>AB5="No"</formula>
    </cfRule>
  </conditionalFormatting>
  <conditionalFormatting sqref="AE5:AE85">
    <cfRule type="expression" dxfId="441" priority="20">
      <formula>AE5="❌ Disc"</formula>
    </cfRule>
    <cfRule type="expression" dxfId="440" priority="21">
      <formula>AE5="⚠ Missing"</formula>
    </cfRule>
    <cfRule type="expression" dxfId="439" priority="22">
      <formula>AE5="⚠ Check"</formula>
    </cfRule>
    <cfRule type="expression" dxfId="438" priority="19">
      <formula>AE5="✓ OK"</formula>
    </cfRule>
  </conditionalFormatting>
  <conditionalFormatting sqref="AH5:AH85">
    <cfRule type="expression" dxfId="437" priority="32">
      <formula>AH5="Yes"</formula>
    </cfRule>
    <cfRule type="expression" dxfId="436" priority="33">
      <formula>AH5="No"</formula>
    </cfRule>
  </conditionalFormatting>
  <conditionalFormatting sqref="AI5:AI85">
    <cfRule type="expression" dxfId="435" priority="34">
      <formula>AI5="Yes"</formula>
    </cfRule>
  </conditionalFormatting>
  <conditionalFormatting sqref="AK5:AK85">
    <cfRule type="expression" dxfId="434" priority="35">
      <formula>AK5="Yes"</formula>
    </cfRule>
    <cfRule type="expression" dxfId="433" priority="36">
      <formula>AK5="No"</formula>
    </cfRule>
  </conditionalFormatting>
  <conditionalFormatting sqref="AN5:AN85">
    <cfRule type="expression" dxfId="432" priority="29">
      <formula>AN5="❌ Disc"</formula>
    </cfRule>
    <cfRule type="expression" dxfId="431" priority="30">
      <formula>AN5="⚠ Missing"</formula>
    </cfRule>
    <cfRule type="expression" dxfId="430" priority="31">
      <formula>AN5="⚠ Check"</formula>
    </cfRule>
    <cfRule type="expression" dxfId="429" priority="28">
      <formula>AN5="✓ OK"</formula>
    </cfRule>
  </conditionalFormatting>
  <conditionalFormatting sqref="AQ5:AQ85">
    <cfRule type="expression" dxfId="428" priority="42">
      <formula>AQ5="No"</formula>
    </cfRule>
    <cfRule type="expression" dxfId="427" priority="41">
      <formula>AQ5="Yes"</formula>
    </cfRule>
  </conditionalFormatting>
  <conditionalFormatting sqref="AR5:AR85">
    <cfRule type="expression" dxfId="426" priority="43">
      <formula>AR5="Yes"</formula>
    </cfRule>
  </conditionalFormatting>
  <conditionalFormatting sqref="AT5:AT85">
    <cfRule type="expression" dxfId="425" priority="44">
      <formula>AT5="Yes"</formula>
    </cfRule>
    <cfRule type="expression" dxfId="424" priority="45">
      <formula>AT5="No"</formula>
    </cfRule>
  </conditionalFormatting>
  <conditionalFormatting sqref="AW5:AW85">
    <cfRule type="expression" dxfId="423" priority="37">
      <formula>AW5="✓ OK"</formula>
    </cfRule>
    <cfRule type="expression" dxfId="422" priority="38">
      <formula>AW5="❌ Disc"</formula>
    </cfRule>
    <cfRule type="expression" dxfId="421" priority="39">
      <formula>AW5="⚠ Missing"</formula>
    </cfRule>
    <cfRule type="expression" dxfId="420" priority="40">
      <formula>AW5="⚠ Check"</formula>
    </cfRule>
  </conditionalFormatting>
  <dataValidations count="2">
    <dataValidation type="list" allowBlank="1" sqref="AT5:AT85 AQ5:AR85 AK5:AK85 AH5:AI85 AB5:AB85 Y5:Z85 S5:S85 P5:Q85 G5:H85 J5:J85" xr:uid="{00000000-0002-0000-0300-000000000000}">
      <formula1>"Yes,No"</formula1>
    </dataValidation>
    <dataValidation type="list" allowBlank="1" sqref="R5:R85 AS5:AS85 AJ5:AJ85 AA5:AA85 I5:I85" xr:uid="{00000000-0002-0000-03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E5" sqref="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932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933</v>
      </c>
      <c r="C5" s="25" t="s">
        <v>934</v>
      </c>
      <c r="D5" s="23" t="s">
        <v>935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936</v>
      </c>
      <c r="C6" s="44" t="s">
        <v>937</v>
      </c>
      <c r="D6" s="42" t="s">
        <v>935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938</v>
      </c>
      <c r="C7" s="25" t="s">
        <v>939</v>
      </c>
      <c r="D7" s="23" t="s">
        <v>935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940</v>
      </c>
      <c r="C8" s="44" t="s">
        <v>941</v>
      </c>
      <c r="D8" s="42" t="s">
        <v>935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942</v>
      </c>
      <c r="C9" s="25" t="s">
        <v>943</v>
      </c>
      <c r="D9" s="23" t="s">
        <v>935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944</v>
      </c>
      <c r="C10" s="44" t="s">
        <v>945</v>
      </c>
      <c r="D10" s="42" t="s">
        <v>935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946</v>
      </c>
      <c r="C11" s="25" t="s">
        <v>947</v>
      </c>
      <c r="D11" s="23" t="s">
        <v>935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948</v>
      </c>
      <c r="C12" s="44" t="s">
        <v>949</v>
      </c>
      <c r="D12" s="42" t="s">
        <v>935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950</v>
      </c>
      <c r="C13" s="25" t="s">
        <v>951</v>
      </c>
      <c r="D13" s="23" t="s">
        <v>935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952</v>
      </c>
      <c r="C14" s="44" t="s">
        <v>953</v>
      </c>
      <c r="D14" s="42" t="s">
        <v>935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954</v>
      </c>
      <c r="C15" s="25" t="s">
        <v>955</v>
      </c>
      <c r="D15" s="23" t="s">
        <v>935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956</v>
      </c>
      <c r="C16" s="44" t="s">
        <v>957</v>
      </c>
      <c r="D16" s="42" t="s">
        <v>935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958</v>
      </c>
      <c r="C17" s="25" t="s">
        <v>959</v>
      </c>
      <c r="D17" s="23" t="s">
        <v>935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960</v>
      </c>
      <c r="C18" s="44" t="s">
        <v>961</v>
      </c>
      <c r="D18" s="42" t="s">
        <v>935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962</v>
      </c>
      <c r="C19" s="25" t="s">
        <v>963</v>
      </c>
      <c r="D19" s="23" t="s">
        <v>935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964</v>
      </c>
      <c r="C20" s="44" t="s">
        <v>965</v>
      </c>
      <c r="D20" s="42" t="s">
        <v>935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966</v>
      </c>
      <c r="C21" s="25" t="s">
        <v>967</v>
      </c>
      <c r="D21" s="23" t="s">
        <v>935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968</v>
      </c>
      <c r="C22" s="44" t="s">
        <v>969</v>
      </c>
      <c r="D22" s="42" t="s">
        <v>935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970</v>
      </c>
      <c r="C23" s="25" t="s">
        <v>971</v>
      </c>
      <c r="D23" s="23" t="s">
        <v>935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972</v>
      </c>
      <c r="C24" s="44" t="s">
        <v>973</v>
      </c>
      <c r="D24" s="42" t="s">
        <v>935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974</v>
      </c>
      <c r="C25" s="25" t="s">
        <v>975</v>
      </c>
      <c r="D25" s="23" t="s">
        <v>935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976</v>
      </c>
      <c r="C26" s="44" t="s">
        <v>977</v>
      </c>
      <c r="D26" s="42" t="s">
        <v>935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978</v>
      </c>
      <c r="C27" s="25" t="s">
        <v>979</v>
      </c>
      <c r="D27" s="23" t="s">
        <v>935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980</v>
      </c>
      <c r="C28" s="44" t="s">
        <v>981</v>
      </c>
      <c r="D28" s="42" t="s">
        <v>935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982</v>
      </c>
      <c r="C29" s="25" t="s">
        <v>983</v>
      </c>
      <c r="D29" s="23" t="s">
        <v>935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984</v>
      </c>
      <c r="C30" s="44" t="s">
        <v>985</v>
      </c>
      <c r="D30" s="42" t="s">
        <v>935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986</v>
      </c>
      <c r="C31" s="25" t="s">
        <v>987</v>
      </c>
      <c r="D31" s="23" t="s">
        <v>935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988</v>
      </c>
      <c r="C32" s="44" t="s">
        <v>989</v>
      </c>
      <c r="D32" s="42" t="s">
        <v>935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990</v>
      </c>
      <c r="C33" s="25" t="s">
        <v>991</v>
      </c>
      <c r="D33" s="23" t="s">
        <v>935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992</v>
      </c>
      <c r="C34" s="44" t="s">
        <v>993</v>
      </c>
      <c r="D34" s="42" t="s">
        <v>935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994</v>
      </c>
      <c r="C35" s="25" t="s">
        <v>995</v>
      </c>
      <c r="D35" s="23" t="s">
        <v>935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996</v>
      </c>
      <c r="C36" s="44" t="s">
        <v>997</v>
      </c>
      <c r="D36" s="42" t="s">
        <v>935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998</v>
      </c>
      <c r="C37" s="25" t="s">
        <v>999</v>
      </c>
      <c r="D37" s="23" t="s">
        <v>935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1000</v>
      </c>
      <c r="C38" s="44" t="s">
        <v>1001</v>
      </c>
      <c r="D38" s="42" t="s">
        <v>935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1002</v>
      </c>
      <c r="C39" s="25" t="s">
        <v>1003</v>
      </c>
      <c r="D39" s="23" t="s">
        <v>935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1004</v>
      </c>
      <c r="C40" s="44" t="s">
        <v>1005</v>
      </c>
      <c r="D40" s="42" t="s">
        <v>935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1006</v>
      </c>
      <c r="C41" s="25" t="s">
        <v>1007</v>
      </c>
      <c r="D41" s="23" t="s">
        <v>935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1008</v>
      </c>
      <c r="C42" s="44" t="s">
        <v>1009</v>
      </c>
      <c r="D42" s="42" t="s">
        <v>935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1010</v>
      </c>
      <c r="C43" s="25" t="s">
        <v>1011</v>
      </c>
      <c r="D43" s="23" t="s">
        <v>935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1012</v>
      </c>
      <c r="C44" s="44" t="s">
        <v>1013</v>
      </c>
      <c r="D44" s="42" t="s">
        <v>935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1014</v>
      </c>
      <c r="C45" s="25" t="s">
        <v>1015</v>
      </c>
      <c r="D45" s="23" t="s">
        <v>935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1016</v>
      </c>
      <c r="C46" s="44" t="s">
        <v>1017</v>
      </c>
      <c r="D46" s="42" t="s">
        <v>935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1018</v>
      </c>
      <c r="C47" s="25" t="s">
        <v>1019</v>
      </c>
      <c r="D47" s="23" t="s">
        <v>935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1020</v>
      </c>
      <c r="C48" s="44" t="s">
        <v>1021</v>
      </c>
      <c r="D48" s="42" t="s">
        <v>935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1022</v>
      </c>
      <c r="C49" s="25" t="s">
        <v>1023</v>
      </c>
      <c r="D49" s="23" t="s">
        <v>935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1024</v>
      </c>
      <c r="C50" s="44" t="s">
        <v>1025</v>
      </c>
      <c r="D50" s="42" t="s">
        <v>935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1026</v>
      </c>
      <c r="C51" s="25" t="s">
        <v>1027</v>
      </c>
      <c r="D51" s="23" t="s">
        <v>935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1028</v>
      </c>
      <c r="C52" s="44" t="s">
        <v>1029</v>
      </c>
      <c r="D52" s="42" t="s">
        <v>935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1030</v>
      </c>
      <c r="C53" s="25" t="s">
        <v>1031</v>
      </c>
      <c r="D53" s="23" t="s">
        <v>935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1032</v>
      </c>
      <c r="C54" s="44" t="s">
        <v>1033</v>
      </c>
      <c r="D54" s="42" t="s">
        <v>1034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1035</v>
      </c>
      <c r="C55" s="25" t="s">
        <v>1036</v>
      </c>
      <c r="D55" s="23" t="s">
        <v>1034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1037</v>
      </c>
      <c r="C56" s="44" t="s">
        <v>1038</v>
      </c>
      <c r="D56" s="42" t="s">
        <v>1034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1039</v>
      </c>
      <c r="C57" s="25" t="s">
        <v>1040</v>
      </c>
      <c r="D57" s="23" t="s">
        <v>1034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1041</v>
      </c>
      <c r="C58" s="44" t="s">
        <v>1042</v>
      </c>
      <c r="D58" s="42" t="s">
        <v>1034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1043</v>
      </c>
      <c r="C59" s="25" t="s">
        <v>1044</v>
      </c>
      <c r="D59" s="23" t="s">
        <v>1034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1045</v>
      </c>
      <c r="C60" s="44" t="s">
        <v>1046</v>
      </c>
      <c r="D60" s="42" t="s">
        <v>1034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1047</v>
      </c>
      <c r="C61" s="25" t="s">
        <v>1048</v>
      </c>
      <c r="D61" s="23" t="s">
        <v>1034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1049</v>
      </c>
      <c r="C62" s="44" t="s">
        <v>1050</v>
      </c>
      <c r="D62" s="42" t="s">
        <v>1034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1051</v>
      </c>
      <c r="C63" s="25" t="s">
        <v>1052</v>
      </c>
      <c r="D63" s="23" t="s">
        <v>1034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1053</v>
      </c>
      <c r="C64" s="44" t="s">
        <v>1054</v>
      </c>
      <c r="D64" s="42" t="s">
        <v>1034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1055</v>
      </c>
      <c r="C65" s="25" t="s">
        <v>1056</v>
      </c>
      <c r="D65" s="23" t="s">
        <v>1034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1057</v>
      </c>
      <c r="C66" s="44" t="s">
        <v>1058</v>
      </c>
      <c r="D66" s="42" t="s">
        <v>1034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1059</v>
      </c>
      <c r="C67" s="25" t="s">
        <v>1060</v>
      </c>
      <c r="D67" s="23" t="s">
        <v>1034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1061</v>
      </c>
      <c r="C68" s="44" t="s">
        <v>1062</v>
      </c>
      <c r="D68" s="42" t="s">
        <v>1034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1063</v>
      </c>
      <c r="C69" s="25" t="s">
        <v>1064</v>
      </c>
      <c r="D69" s="23" t="s">
        <v>1034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0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1065</v>
      </c>
      <c r="C70" s="44" t="s">
        <v>1066</v>
      </c>
      <c r="D70" s="42" t="s">
        <v>1034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1067</v>
      </c>
      <c r="C71" s="25" t="s">
        <v>1068</v>
      </c>
      <c r="D71" s="23" t="s">
        <v>1034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1069</v>
      </c>
      <c r="C72" s="44" t="s">
        <v>1070</v>
      </c>
      <c r="D72" s="42" t="s">
        <v>1034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1071</v>
      </c>
      <c r="C73" s="25" t="s">
        <v>1072</v>
      </c>
      <c r="D73" s="23" t="s">
        <v>1034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1073</v>
      </c>
      <c r="C74" s="44" t="s">
        <v>1074</v>
      </c>
      <c r="D74" s="42" t="s">
        <v>1034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1075</v>
      </c>
      <c r="C75" s="25" t="s">
        <v>1076</v>
      </c>
      <c r="D75" s="23" t="s">
        <v>1034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1077</v>
      </c>
      <c r="C76" s="44" t="s">
        <v>1078</v>
      </c>
      <c r="D76" s="42" t="s">
        <v>1034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1079</v>
      </c>
      <c r="C77" s="25" t="s">
        <v>1080</v>
      </c>
      <c r="D77" s="23" t="s">
        <v>1034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1081</v>
      </c>
      <c r="C78" s="44" t="s">
        <v>1082</v>
      </c>
      <c r="D78" s="42" t="s">
        <v>1034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1083</v>
      </c>
      <c r="C79" s="25" t="s">
        <v>1084</v>
      </c>
      <c r="D79" s="23" t="s">
        <v>1034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1085</v>
      </c>
      <c r="C80" s="44" t="s">
        <v>1086</v>
      </c>
      <c r="D80" s="42" t="s">
        <v>1034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1087</v>
      </c>
      <c r="C81" s="25" t="s">
        <v>1088</v>
      </c>
      <c r="D81" s="23" t="s">
        <v>1034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1089</v>
      </c>
      <c r="C82" s="44" t="s">
        <v>1090</v>
      </c>
      <c r="D82" s="42" t="s">
        <v>1034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1091</v>
      </c>
      <c r="C83" s="25" t="s">
        <v>1092</v>
      </c>
      <c r="D83" s="23" t="s">
        <v>1034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1093</v>
      </c>
      <c r="C84" s="44" t="s">
        <v>1094</v>
      </c>
      <c r="D84" s="42" t="s">
        <v>1034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1095</v>
      </c>
      <c r="C85" s="25" t="s">
        <v>1096</v>
      </c>
      <c r="D85" s="23" t="s">
        <v>1034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customHeight="1" x14ac:dyDescent="0.3">
      <c r="A86" s="42">
        <v>82</v>
      </c>
      <c r="B86" s="43" t="s">
        <v>1097</v>
      </c>
      <c r="C86" s="44" t="s">
        <v>1098</v>
      </c>
      <c r="D86" s="42" t="s">
        <v>1034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0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customHeight="1" x14ac:dyDescent="0.3">
      <c r="A87" s="23">
        <v>83</v>
      </c>
      <c r="B87" s="24" t="s">
        <v>1099</v>
      </c>
      <c r="C87" s="25" t="s">
        <v>1100</v>
      </c>
      <c r="D87" s="23" t="s">
        <v>1034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0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customHeight="1" x14ac:dyDescent="0.3">
      <c r="A88" s="42">
        <v>84</v>
      </c>
      <c r="B88" s="43" t="s">
        <v>1101</v>
      </c>
      <c r="C88" s="44" t="s">
        <v>1102</v>
      </c>
      <c r="D88" s="42" t="s">
        <v>1034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0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customHeight="1" x14ac:dyDescent="0.3">
      <c r="A89" s="23">
        <v>85</v>
      </c>
      <c r="B89" s="24" t="s">
        <v>1103</v>
      </c>
      <c r="C89" s="25" t="s">
        <v>1104</v>
      </c>
      <c r="D89" s="23" t="s">
        <v>1034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0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customHeight="1" x14ac:dyDescent="0.3">
      <c r="A90" s="42">
        <v>86</v>
      </c>
      <c r="B90" s="43" t="s">
        <v>1105</v>
      </c>
      <c r="C90" s="44" t="s">
        <v>1106</v>
      </c>
      <c r="D90" s="42" t="s">
        <v>1034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0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customHeight="1" x14ac:dyDescent="0.3">
      <c r="A91" s="23">
        <v>87</v>
      </c>
      <c r="B91" s="24" t="s">
        <v>1107</v>
      </c>
      <c r="C91" s="25" t="s">
        <v>1108</v>
      </c>
      <c r="D91" s="23" t="s">
        <v>1034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0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customHeight="1" x14ac:dyDescent="0.3">
      <c r="A92" s="42">
        <v>88</v>
      </c>
      <c r="B92" s="43" t="s">
        <v>1109</v>
      </c>
      <c r="C92" s="44" t="s">
        <v>1110</v>
      </c>
      <c r="D92" s="42" t="s">
        <v>1034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0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customHeight="1" x14ac:dyDescent="0.3">
      <c r="A93" s="23">
        <v>89</v>
      </c>
      <c r="B93" s="24" t="s">
        <v>1111</v>
      </c>
      <c r="C93" s="25" t="s">
        <v>1112</v>
      </c>
      <c r="D93" s="23" t="s">
        <v>1034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0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customHeight="1" x14ac:dyDescent="0.3">
      <c r="A94" s="42">
        <v>90</v>
      </c>
      <c r="B94" s="43" t="s">
        <v>1113</v>
      </c>
      <c r="C94" s="44" t="s">
        <v>1114</v>
      </c>
      <c r="D94" s="42" t="s">
        <v>1034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0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customHeight="1" x14ac:dyDescent="0.3">
      <c r="A95" s="23">
        <v>91</v>
      </c>
      <c r="B95" s="24" t="s">
        <v>1115</v>
      </c>
      <c r="C95" s="25" t="s">
        <v>1116</v>
      </c>
      <c r="D95" s="23" t="s">
        <v>1034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0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customHeight="1" x14ac:dyDescent="0.3">
      <c r="A96" s="42">
        <v>92</v>
      </c>
      <c r="B96" s="43" t="s">
        <v>1117</v>
      </c>
      <c r="C96" s="44" t="s">
        <v>1118</v>
      </c>
      <c r="D96" s="42" t="s">
        <v>1034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0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customHeight="1" x14ac:dyDescent="0.3">
      <c r="A97" s="23">
        <v>93</v>
      </c>
      <c r="B97" s="24" t="s">
        <v>1119</v>
      </c>
      <c r="C97" s="25" t="s">
        <v>1120</v>
      </c>
      <c r="D97" s="23" t="s">
        <v>1034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0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customHeight="1" x14ac:dyDescent="0.3">
      <c r="A98" s="42">
        <v>94</v>
      </c>
      <c r="B98" s="43" t="s">
        <v>1121</v>
      </c>
      <c r="C98" s="44" t="s">
        <v>1122</v>
      </c>
      <c r="D98" s="42" t="s">
        <v>1034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0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customHeight="1" x14ac:dyDescent="0.3">
      <c r="A99" s="23">
        <v>95</v>
      </c>
      <c r="B99" s="24" t="s">
        <v>1123</v>
      </c>
      <c r="C99" s="25" t="s">
        <v>1124</v>
      </c>
      <c r="D99" s="23" t="s">
        <v>1034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0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customHeight="1" x14ac:dyDescent="0.3">
      <c r="A100" s="42">
        <v>96</v>
      </c>
      <c r="B100" s="43" t="s">
        <v>1125</v>
      </c>
      <c r="C100" s="44" t="s">
        <v>1126</v>
      </c>
      <c r="D100" s="42" t="s">
        <v>1034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0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customHeight="1" x14ac:dyDescent="0.3">
      <c r="A101" s="23">
        <v>97</v>
      </c>
      <c r="B101" s="24" t="s">
        <v>1127</v>
      </c>
      <c r="C101" s="25" t="s">
        <v>1128</v>
      </c>
      <c r="D101" s="23" t="s">
        <v>1034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ref="M101:M132" si="15">IF(E101="","",IF(H101="Yes","❌ Disc",IF(G101="No","⚠ Missing",IF(J101="Yes","✓ OK","⚠ Check"))))</f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42">
        <v>98</v>
      </c>
      <c r="B102" s="43" t="s">
        <v>1129</v>
      </c>
      <c r="C102" s="44" t="s">
        <v>1130</v>
      </c>
      <c r="D102" s="42" t="s">
        <v>1034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customHeight="1" x14ac:dyDescent="0.3">
      <c r="A103" s="23">
        <v>99</v>
      </c>
      <c r="B103" s="24" t="s">
        <v>1131</v>
      </c>
      <c r="C103" s="25" t="s">
        <v>1132</v>
      </c>
      <c r="D103" s="23" t="s">
        <v>1034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customHeight="1" x14ac:dyDescent="0.3">
      <c r="A104" s="42">
        <v>100</v>
      </c>
      <c r="B104" s="43" t="s">
        <v>1133</v>
      </c>
      <c r="C104" s="44" t="s">
        <v>1134</v>
      </c>
      <c r="D104" s="42" t="s">
        <v>1034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customHeight="1" x14ac:dyDescent="0.3">
      <c r="A105" s="23">
        <v>101</v>
      </c>
      <c r="B105" s="24" t="s">
        <v>1135</v>
      </c>
      <c r="C105" s="25" t="s">
        <v>1136</v>
      </c>
      <c r="D105" s="23" t="s">
        <v>1034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customHeight="1" x14ac:dyDescent="0.3">
      <c r="A106" s="42">
        <v>102</v>
      </c>
      <c r="B106" s="43" t="s">
        <v>1137</v>
      </c>
      <c r="C106" s="44" t="s">
        <v>1138</v>
      </c>
      <c r="D106" s="42" t="s">
        <v>1034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customHeight="1" x14ac:dyDescent="0.3">
      <c r="A107" s="23">
        <v>103</v>
      </c>
      <c r="B107" s="24" t="s">
        <v>1139</v>
      </c>
      <c r="C107" s="25" t="s">
        <v>1140</v>
      </c>
      <c r="D107" s="23" t="s">
        <v>1034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customHeight="1" x14ac:dyDescent="0.3">
      <c r="A108" s="42">
        <v>104</v>
      </c>
      <c r="B108" s="43" t="s">
        <v>1141</v>
      </c>
      <c r="C108" s="44" t="s">
        <v>1142</v>
      </c>
      <c r="D108" s="42" t="s">
        <v>1034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customHeight="1" x14ac:dyDescent="0.3">
      <c r="A109" s="23">
        <v>105</v>
      </c>
      <c r="B109" s="24" t="s">
        <v>1143</v>
      </c>
      <c r="C109" s="25" t="s">
        <v>1144</v>
      </c>
      <c r="D109" s="23" t="s">
        <v>1034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customHeight="1" x14ac:dyDescent="0.3">
      <c r="A110" s="42">
        <v>106</v>
      </c>
      <c r="B110" s="43" t="s">
        <v>1145</v>
      </c>
      <c r="C110" s="44" t="s">
        <v>1146</v>
      </c>
      <c r="D110" s="42" t="s">
        <v>1034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customHeight="1" x14ac:dyDescent="0.3">
      <c r="A111" s="23">
        <v>107</v>
      </c>
      <c r="B111" s="24" t="s">
        <v>1147</v>
      </c>
      <c r="C111" s="25" t="s">
        <v>1148</v>
      </c>
      <c r="D111" s="23" t="s">
        <v>1034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customHeight="1" x14ac:dyDescent="0.3">
      <c r="A112" s="42">
        <v>108</v>
      </c>
      <c r="B112" s="43" t="s">
        <v>1149</v>
      </c>
      <c r="C112" s="44" t="s">
        <v>1150</v>
      </c>
      <c r="D112" s="42" t="s">
        <v>1034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customHeight="1" x14ac:dyDescent="0.3">
      <c r="A113" s="23">
        <v>109</v>
      </c>
      <c r="B113" s="24" t="s">
        <v>1151</v>
      </c>
      <c r="C113" s="25" t="s">
        <v>1152</v>
      </c>
      <c r="D113" s="23" t="s">
        <v>1034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customHeight="1" x14ac:dyDescent="0.3">
      <c r="A114" s="42">
        <v>110</v>
      </c>
      <c r="B114" s="43" t="s">
        <v>1153</v>
      </c>
      <c r="C114" s="44" t="s">
        <v>1154</v>
      </c>
      <c r="D114" s="42" t="s">
        <v>1034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customHeight="1" x14ac:dyDescent="0.3">
      <c r="A115" s="23">
        <v>111</v>
      </c>
      <c r="B115" s="24" t="s">
        <v>1155</v>
      </c>
      <c r="C115" s="25" t="s">
        <v>1156</v>
      </c>
      <c r="D115" s="23" t="s">
        <v>1034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customHeight="1" x14ac:dyDescent="0.3">
      <c r="A116" s="42">
        <v>112</v>
      </c>
      <c r="B116" s="43" t="s">
        <v>1157</v>
      </c>
      <c r="C116" s="44" t="s">
        <v>1158</v>
      </c>
      <c r="D116" s="42" t="s">
        <v>1034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customHeight="1" x14ac:dyDescent="0.3">
      <c r="A117" s="23">
        <v>113</v>
      </c>
      <c r="B117" s="24" t="s">
        <v>1159</v>
      </c>
      <c r="C117" s="25" t="s">
        <v>1160</v>
      </c>
      <c r="D117" s="23" t="s">
        <v>1034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customHeight="1" x14ac:dyDescent="0.3">
      <c r="A118" s="42">
        <v>114</v>
      </c>
      <c r="B118" s="43" t="s">
        <v>1161</v>
      </c>
      <c r="C118" s="44" t="s">
        <v>1162</v>
      </c>
      <c r="D118" s="42" t="s">
        <v>1034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1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customHeight="1" x14ac:dyDescent="0.3">
      <c r="A119" s="23">
        <v>115</v>
      </c>
      <c r="B119" s="24" t="s">
        <v>1163</v>
      </c>
      <c r="C119" s="25" t="s">
        <v>1164</v>
      </c>
      <c r="D119" s="23" t="s">
        <v>1034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1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customHeight="1" x14ac:dyDescent="0.3">
      <c r="A120" s="42">
        <v>116</v>
      </c>
      <c r="B120" s="43" t="s">
        <v>1165</v>
      </c>
      <c r="C120" s="44" t="s">
        <v>1166</v>
      </c>
      <c r="D120" s="42" t="s">
        <v>1034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1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customHeight="1" x14ac:dyDescent="0.3">
      <c r="A121" s="23">
        <v>117</v>
      </c>
      <c r="B121" s="24" t="s">
        <v>1167</v>
      </c>
      <c r="C121" s="25" t="s">
        <v>1168</v>
      </c>
      <c r="D121" s="23" t="s">
        <v>1034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1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customHeight="1" x14ac:dyDescent="0.3">
      <c r="A122" s="42">
        <v>118</v>
      </c>
      <c r="B122" s="43" t="s">
        <v>1169</v>
      </c>
      <c r="C122" s="44" t="s">
        <v>1170</v>
      </c>
      <c r="D122" s="42" t="s">
        <v>1034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1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customHeight="1" x14ac:dyDescent="0.3">
      <c r="A123" s="23">
        <v>119</v>
      </c>
      <c r="B123" s="24" t="s">
        <v>1171</v>
      </c>
      <c r="C123" s="25" t="s">
        <v>1172</v>
      </c>
      <c r="D123" s="23" t="s">
        <v>1034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1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customHeight="1" x14ac:dyDescent="0.3">
      <c r="A124" s="42">
        <v>120</v>
      </c>
      <c r="B124" s="43" t="s">
        <v>1173</v>
      </c>
      <c r="C124" s="44" t="s">
        <v>1174</v>
      </c>
      <c r="D124" s="42" t="s">
        <v>1034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1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customHeight="1" x14ac:dyDescent="0.3">
      <c r="A125" s="23">
        <v>121</v>
      </c>
      <c r="B125" s="24" t="s">
        <v>1175</v>
      </c>
      <c r="C125" s="25" t="s">
        <v>1176</v>
      </c>
      <c r="D125" s="23" t="s">
        <v>1034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1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customHeight="1" x14ac:dyDescent="0.3">
      <c r="A126" s="42">
        <v>122</v>
      </c>
      <c r="B126" s="43" t="s">
        <v>1177</v>
      </c>
      <c r="C126" s="44" t="s">
        <v>1178</v>
      </c>
      <c r="D126" s="42" t="s">
        <v>1034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1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customHeight="1" x14ac:dyDescent="0.3">
      <c r="A127" s="23">
        <v>123</v>
      </c>
      <c r="B127" s="24" t="s">
        <v>1179</v>
      </c>
      <c r="C127" s="25" t="s">
        <v>1180</v>
      </c>
      <c r="D127" s="23" t="s">
        <v>1034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1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customHeight="1" x14ac:dyDescent="0.3">
      <c r="A128" s="42">
        <v>124</v>
      </c>
      <c r="B128" s="43" t="s">
        <v>1181</v>
      </c>
      <c r="C128" s="44" t="s">
        <v>1182</v>
      </c>
      <c r="D128" s="42" t="s">
        <v>1034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1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customHeight="1" x14ac:dyDescent="0.3">
      <c r="A129" s="23">
        <v>125</v>
      </c>
      <c r="B129" s="24" t="s">
        <v>1183</v>
      </c>
      <c r="C129" s="25" t="s">
        <v>1184</v>
      </c>
      <c r="D129" s="23" t="s">
        <v>1034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1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customHeight="1" x14ac:dyDescent="0.3">
      <c r="A130" s="42">
        <v>126</v>
      </c>
      <c r="B130" s="43" t="s">
        <v>1185</v>
      </c>
      <c r="C130" s="44" t="s">
        <v>1186</v>
      </c>
      <c r="D130" s="42" t="s">
        <v>1034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1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customHeight="1" x14ac:dyDescent="0.3">
      <c r="A131" s="23">
        <v>127</v>
      </c>
      <c r="B131" s="24" t="s">
        <v>1187</v>
      </c>
      <c r="C131" s="25" t="s">
        <v>1188</v>
      </c>
      <c r="D131" s="23" t="s">
        <v>1034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1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customHeight="1" x14ac:dyDescent="0.3">
      <c r="A132" s="42">
        <v>128</v>
      </c>
      <c r="B132" s="43" t="s">
        <v>1189</v>
      </c>
      <c r="C132" s="44" t="s">
        <v>1190</v>
      </c>
      <c r="D132" s="42" t="s">
        <v>1034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1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customHeight="1" x14ac:dyDescent="0.3">
      <c r="A133" s="23">
        <v>129</v>
      </c>
      <c r="B133" s="24" t="s">
        <v>1191</v>
      </c>
      <c r="C133" s="25" t="s">
        <v>1192</v>
      </c>
      <c r="D133" s="23" t="s">
        <v>1034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68" si="2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1193</v>
      </c>
      <c r="C134" s="44" t="s">
        <v>1194</v>
      </c>
      <c r="D134" s="42" t="s">
        <v>1034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2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customHeight="1" x14ac:dyDescent="0.3">
      <c r="A135" s="23">
        <v>131</v>
      </c>
      <c r="B135" s="24" t="s">
        <v>1195</v>
      </c>
      <c r="C135" s="25" t="s">
        <v>1196</v>
      </c>
      <c r="D135" s="23" t="s">
        <v>1034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2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customHeight="1" x14ac:dyDescent="0.3">
      <c r="A136" s="42">
        <v>132</v>
      </c>
      <c r="B136" s="43" t="s">
        <v>1197</v>
      </c>
      <c r="C136" s="44" t="s">
        <v>1198</v>
      </c>
      <c r="D136" s="42" t="s">
        <v>1034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2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customHeight="1" x14ac:dyDescent="0.3">
      <c r="A137" s="23">
        <v>133</v>
      </c>
      <c r="B137" s="24" t="s">
        <v>1199</v>
      </c>
      <c r="C137" s="25" t="s">
        <v>1200</v>
      </c>
      <c r="D137" s="23" t="s">
        <v>1034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2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customHeight="1" x14ac:dyDescent="0.3">
      <c r="A138" s="42">
        <v>134</v>
      </c>
      <c r="B138" s="43" t="s">
        <v>1201</v>
      </c>
      <c r="C138" s="44" t="s">
        <v>1202</v>
      </c>
      <c r="D138" s="42" t="s">
        <v>1034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2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customHeight="1" x14ac:dyDescent="0.3">
      <c r="A139" s="23">
        <v>135</v>
      </c>
      <c r="B139" s="24" t="s">
        <v>1203</v>
      </c>
      <c r="C139" s="25" t="s">
        <v>1204</v>
      </c>
      <c r="D139" s="23" t="s">
        <v>1034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2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customHeight="1" x14ac:dyDescent="0.3">
      <c r="A140" s="42">
        <v>136</v>
      </c>
      <c r="B140" s="43" t="s">
        <v>1205</v>
      </c>
      <c r="C140" s="44" t="s">
        <v>1206</v>
      </c>
      <c r="D140" s="42" t="s">
        <v>1034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2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customHeight="1" x14ac:dyDescent="0.3">
      <c r="A141" s="23">
        <v>137</v>
      </c>
      <c r="B141" s="24" t="s">
        <v>1207</v>
      </c>
      <c r="C141" s="25" t="s">
        <v>1208</v>
      </c>
      <c r="D141" s="23" t="s">
        <v>1034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2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customHeight="1" x14ac:dyDescent="0.3">
      <c r="A142" s="42">
        <v>138</v>
      </c>
      <c r="B142" s="43" t="s">
        <v>1209</v>
      </c>
      <c r="C142" s="44" t="s">
        <v>1210</v>
      </c>
      <c r="D142" s="42" t="s">
        <v>1034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2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customHeight="1" x14ac:dyDescent="0.3">
      <c r="A143" s="23">
        <v>139</v>
      </c>
      <c r="B143" s="24" t="s">
        <v>1211</v>
      </c>
      <c r="C143" s="25" t="s">
        <v>1212</v>
      </c>
      <c r="D143" s="23" t="s">
        <v>1034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2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customHeight="1" x14ac:dyDescent="0.3">
      <c r="A144" s="42">
        <v>140</v>
      </c>
      <c r="B144" s="43" t="s">
        <v>1213</v>
      </c>
      <c r="C144" s="44" t="s">
        <v>1214</v>
      </c>
      <c r="D144" s="42" t="s">
        <v>1034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2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customHeight="1" x14ac:dyDescent="0.3">
      <c r="A145" s="23">
        <v>141</v>
      </c>
      <c r="B145" s="24" t="s">
        <v>1215</v>
      </c>
      <c r="C145" s="25" t="s">
        <v>1216</v>
      </c>
      <c r="D145" s="23" t="s">
        <v>1034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2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customHeight="1" x14ac:dyDescent="0.3">
      <c r="A146" s="42">
        <v>142</v>
      </c>
      <c r="B146" s="43" t="s">
        <v>1217</v>
      </c>
      <c r="C146" s="44" t="s">
        <v>1218</v>
      </c>
      <c r="D146" s="42" t="s">
        <v>1034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2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customHeight="1" x14ac:dyDescent="0.3">
      <c r="A147" s="23">
        <v>143</v>
      </c>
      <c r="B147" s="24" t="s">
        <v>1219</v>
      </c>
      <c r="C147" s="25" t="s">
        <v>1220</v>
      </c>
      <c r="D147" s="23" t="s">
        <v>1034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2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customHeight="1" x14ac:dyDescent="0.3">
      <c r="A148" s="42">
        <v>144</v>
      </c>
      <c r="B148" s="43" t="s">
        <v>1221</v>
      </c>
      <c r="C148" s="44" t="s">
        <v>1222</v>
      </c>
      <c r="D148" s="42" t="s">
        <v>1034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2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customHeight="1" x14ac:dyDescent="0.3">
      <c r="A149" s="23">
        <v>145</v>
      </c>
      <c r="B149" s="24" t="s">
        <v>1223</v>
      </c>
      <c r="C149" s="25" t="s">
        <v>1224</v>
      </c>
      <c r="D149" s="23" t="s">
        <v>1034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2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customHeight="1" x14ac:dyDescent="0.3">
      <c r="A150" s="42">
        <v>146</v>
      </c>
      <c r="B150" s="43" t="s">
        <v>1225</v>
      </c>
      <c r="C150" s="44" t="s">
        <v>1226</v>
      </c>
      <c r="D150" s="42" t="s">
        <v>1034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2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customHeight="1" x14ac:dyDescent="0.3">
      <c r="A151" s="23">
        <v>147</v>
      </c>
      <c r="B151" s="24" t="s">
        <v>1227</v>
      </c>
      <c r="C151" s="25" t="s">
        <v>1228</v>
      </c>
      <c r="D151" s="23" t="s">
        <v>1034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2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customHeight="1" x14ac:dyDescent="0.3">
      <c r="A152" s="42">
        <v>148</v>
      </c>
      <c r="B152" s="43" t="s">
        <v>1229</v>
      </c>
      <c r="C152" s="44" t="s">
        <v>1230</v>
      </c>
      <c r="D152" s="42" t="s">
        <v>1034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2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customHeight="1" x14ac:dyDescent="0.3">
      <c r="A153" s="23">
        <v>149</v>
      </c>
      <c r="B153" s="24" t="s">
        <v>1231</v>
      </c>
      <c r="C153" s="25" t="s">
        <v>1232</v>
      </c>
      <c r="D153" s="23" t="s">
        <v>1034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2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customHeight="1" x14ac:dyDescent="0.3">
      <c r="A154" s="42">
        <v>150</v>
      </c>
      <c r="B154" s="43" t="s">
        <v>1233</v>
      </c>
      <c r="C154" s="44" t="s">
        <v>1234</v>
      </c>
      <c r="D154" s="42" t="s">
        <v>1034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2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customHeight="1" x14ac:dyDescent="0.3">
      <c r="A155" s="23">
        <v>151</v>
      </c>
      <c r="B155" s="24" t="s">
        <v>1235</v>
      </c>
      <c r="C155" s="25" t="s">
        <v>1236</v>
      </c>
      <c r="D155" s="23" t="s">
        <v>1034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2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customHeight="1" x14ac:dyDescent="0.3">
      <c r="A156" s="42">
        <v>152</v>
      </c>
      <c r="B156" s="43" t="s">
        <v>1237</v>
      </c>
      <c r="C156" s="44" t="s">
        <v>1238</v>
      </c>
      <c r="D156" s="42" t="s">
        <v>1034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2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customHeight="1" x14ac:dyDescent="0.3">
      <c r="A157" s="23">
        <v>153</v>
      </c>
      <c r="B157" s="24" t="s">
        <v>1239</v>
      </c>
      <c r="C157" s="25" t="s">
        <v>1240</v>
      </c>
      <c r="D157" s="23" t="s">
        <v>1034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2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customHeight="1" x14ac:dyDescent="0.3">
      <c r="A158" s="42">
        <v>154</v>
      </c>
      <c r="B158" s="43" t="s">
        <v>1241</v>
      </c>
      <c r="C158" s="44" t="s">
        <v>1242</v>
      </c>
      <c r="D158" s="42" t="s">
        <v>1034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2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customHeight="1" x14ac:dyDescent="0.3">
      <c r="A159" s="23">
        <v>155</v>
      </c>
      <c r="B159" s="24" t="s">
        <v>1243</v>
      </c>
      <c r="C159" s="25" t="s">
        <v>1244</v>
      </c>
      <c r="D159" s="23" t="s">
        <v>1034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2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customHeight="1" x14ac:dyDescent="0.3">
      <c r="A160" s="42">
        <v>156</v>
      </c>
      <c r="B160" s="43" t="s">
        <v>1245</v>
      </c>
      <c r="C160" s="44" t="s">
        <v>1246</v>
      </c>
      <c r="D160" s="42" t="s">
        <v>1034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2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customHeight="1" x14ac:dyDescent="0.3">
      <c r="A161" s="23">
        <v>157</v>
      </c>
      <c r="B161" s="24" t="s">
        <v>1247</v>
      </c>
      <c r="C161" s="25" t="s">
        <v>1248</v>
      </c>
      <c r="D161" s="23" t="s">
        <v>1034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2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customHeight="1" x14ac:dyDescent="0.3">
      <c r="A162" s="42">
        <v>158</v>
      </c>
      <c r="B162" s="43" t="s">
        <v>1249</v>
      </c>
      <c r="C162" s="44" t="s">
        <v>1250</v>
      </c>
      <c r="D162" s="42" t="s">
        <v>1034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2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customHeight="1" x14ac:dyDescent="0.3">
      <c r="A163" s="23">
        <v>159</v>
      </c>
      <c r="B163" s="24" t="s">
        <v>1251</v>
      </c>
      <c r="C163" s="25" t="s">
        <v>1252</v>
      </c>
      <c r="D163" s="23" t="s">
        <v>1034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2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customHeight="1" x14ac:dyDescent="0.3">
      <c r="A164" s="42">
        <v>160</v>
      </c>
      <c r="B164" s="43" t="s">
        <v>1253</v>
      </c>
      <c r="C164" s="44" t="s">
        <v>1254</v>
      </c>
      <c r="D164" s="42" t="s">
        <v>1034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2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customHeight="1" x14ac:dyDescent="0.3">
      <c r="A165" s="23">
        <v>161</v>
      </c>
      <c r="B165" s="24" t="s">
        <v>1255</v>
      </c>
      <c r="C165" s="25" t="s">
        <v>1256</v>
      </c>
      <c r="D165" s="23" t="s">
        <v>1034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2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customHeight="1" x14ac:dyDescent="0.3">
      <c r="A166" s="42">
        <v>162</v>
      </c>
      <c r="B166" s="43" t="s">
        <v>1257</v>
      </c>
      <c r="C166" s="44" t="s">
        <v>1258</v>
      </c>
      <c r="D166" s="42" t="s">
        <v>1034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2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customHeight="1" x14ac:dyDescent="0.3">
      <c r="A167" s="23">
        <v>163</v>
      </c>
      <c r="B167" s="24" t="s">
        <v>1259</v>
      </c>
      <c r="C167" s="25" t="s">
        <v>1260</v>
      </c>
      <c r="D167" s="23" t="s">
        <v>1034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2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customHeight="1" x14ac:dyDescent="0.3">
      <c r="A168" s="42">
        <v>164</v>
      </c>
      <c r="B168" s="43" t="s">
        <v>1261</v>
      </c>
      <c r="C168" s="44" t="s">
        <v>1262</v>
      </c>
      <c r="D168" s="42" t="s">
        <v>1034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2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19" priority="46">
      <formula>MOD(ROW(),2)=0</formula>
    </cfRule>
  </conditionalFormatting>
  <conditionalFormatting sqref="G5:G168">
    <cfRule type="expression" dxfId="418" priority="6">
      <formula>G5="No"</formula>
    </cfRule>
    <cfRule type="expression" dxfId="417" priority="5">
      <formula>G5="Yes"</formula>
    </cfRule>
  </conditionalFormatting>
  <conditionalFormatting sqref="H5:H168">
    <cfRule type="expression" dxfId="416" priority="7">
      <formula>H5="Yes"</formula>
    </cfRule>
  </conditionalFormatting>
  <conditionalFormatting sqref="J5:J168">
    <cfRule type="expression" dxfId="415" priority="8">
      <formula>J5="Yes"</formula>
    </cfRule>
    <cfRule type="expression" dxfId="414" priority="9">
      <formula>J5="No"</formula>
    </cfRule>
  </conditionalFormatting>
  <conditionalFormatting sqref="M5:M168">
    <cfRule type="expression" dxfId="413" priority="2">
      <formula>M5="❌ Disc"</formula>
    </cfRule>
    <cfRule type="expression" dxfId="412" priority="3">
      <formula>M5="⚠ Missing"</formula>
    </cfRule>
    <cfRule type="expression" dxfId="411" priority="4">
      <formula>M5="⚠ Check"</formula>
    </cfRule>
    <cfRule type="expression" dxfId="410" priority="1">
      <formula>M5="✓ OK"</formula>
    </cfRule>
  </conditionalFormatting>
  <conditionalFormatting sqref="P5:P168">
    <cfRule type="expression" dxfId="409" priority="14">
      <formula>P5="Yes"</formula>
    </cfRule>
    <cfRule type="expression" dxfId="408" priority="15">
      <formula>P5="No"</formula>
    </cfRule>
  </conditionalFormatting>
  <conditionalFormatting sqref="Q5:Q168">
    <cfRule type="expression" dxfId="407" priority="16">
      <formula>Q5="Yes"</formula>
    </cfRule>
  </conditionalFormatting>
  <conditionalFormatting sqref="S5:S168">
    <cfRule type="expression" dxfId="406" priority="17">
      <formula>S5="Yes"</formula>
    </cfRule>
    <cfRule type="expression" dxfId="405" priority="18">
      <formula>S5="No"</formula>
    </cfRule>
  </conditionalFormatting>
  <conditionalFormatting sqref="V5:V168">
    <cfRule type="expression" dxfId="404" priority="10">
      <formula>V5="✓ OK"</formula>
    </cfRule>
    <cfRule type="expression" dxfId="403" priority="11">
      <formula>V5="❌ Disc"</formula>
    </cfRule>
    <cfRule type="expression" dxfId="402" priority="12">
      <formula>V5="⚠ Missing"</formula>
    </cfRule>
    <cfRule type="expression" dxfId="401" priority="13">
      <formula>V5="⚠ Check"</formula>
    </cfRule>
  </conditionalFormatting>
  <conditionalFormatting sqref="Y5:Y168">
    <cfRule type="expression" dxfId="400" priority="24">
      <formula>Y5="No"</formula>
    </cfRule>
    <cfRule type="expression" dxfId="399" priority="23">
      <formula>Y5="Yes"</formula>
    </cfRule>
  </conditionalFormatting>
  <conditionalFormatting sqref="Z5:Z168">
    <cfRule type="expression" dxfId="398" priority="25">
      <formula>Z5="Yes"</formula>
    </cfRule>
  </conditionalFormatting>
  <conditionalFormatting sqref="AB5:AB168">
    <cfRule type="expression" dxfId="397" priority="26">
      <formula>AB5="Yes"</formula>
    </cfRule>
    <cfRule type="expression" dxfId="396" priority="27">
      <formula>AB5="No"</formula>
    </cfRule>
  </conditionalFormatting>
  <conditionalFormatting sqref="AE5:AE168">
    <cfRule type="expression" dxfId="395" priority="20">
      <formula>AE5="❌ Disc"</formula>
    </cfRule>
    <cfRule type="expression" dxfId="394" priority="21">
      <formula>AE5="⚠ Missing"</formula>
    </cfRule>
    <cfRule type="expression" dxfId="393" priority="22">
      <formula>AE5="⚠ Check"</formula>
    </cfRule>
    <cfRule type="expression" dxfId="392" priority="19">
      <formula>AE5="✓ OK"</formula>
    </cfRule>
  </conditionalFormatting>
  <conditionalFormatting sqref="AH5:AH168">
    <cfRule type="expression" dxfId="391" priority="32">
      <formula>AH5="Yes"</formula>
    </cfRule>
    <cfRule type="expression" dxfId="390" priority="33">
      <formula>AH5="No"</formula>
    </cfRule>
  </conditionalFormatting>
  <conditionalFormatting sqref="AI5:AI168">
    <cfRule type="expression" dxfId="389" priority="34">
      <formula>AI5="Yes"</formula>
    </cfRule>
  </conditionalFormatting>
  <conditionalFormatting sqref="AK5:AK168">
    <cfRule type="expression" dxfId="388" priority="35">
      <formula>AK5="Yes"</formula>
    </cfRule>
    <cfRule type="expression" dxfId="387" priority="36">
      <formula>AK5="No"</formula>
    </cfRule>
  </conditionalFormatting>
  <conditionalFormatting sqref="AN5:AN168">
    <cfRule type="expression" dxfId="386" priority="29">
      <formula>AN5="❌ Disc"</formula>
    </cfRule>
    <cfRule type="expression" dxfId="385" priority="30">
      <formula>AN5="⚠ Missing"</formula>
    </cfRule>
    <cfRule type="expression" dxfId="384" priority="31">
      <formula>AN5="⚠ Check"</formula>
    </cfRule>
    <cfRule type="expression" dxfId="383" priority="28">
      <formula>AN5="✓ OK"</formula>
    </cfRule>
  </conditionalFormatting>
  <conditionalFormatting sqref="AQ5:AQ168">
    <cfRule type="expression" dxfId="382" priority="42">
      <formula>AQ5="No"</formula>
    </cfRule>
    <cfRule type="expression" dxfId="381" priority="41">
      <formula>AQ5="Yes"</formula>
    </cfRule>
  </conditionalFormatting>
  <conditionalFormatting sqref="AR5:AR168">
    <cfRule type="expression" dxfId="380" priority="43">
      <formula>AR5="Yes"</formula>
    </cfRule>
  </conditionalFormatting>
  <conditionalFormatting sqref="AT5:AT168">
    <cfRule type="expression" dxfId="379" priority="44">
      <formula>AT5="Yes"</formula>
    </cfRule>
    <cfRule type="expression" dxfId="378" priority="45">
      <formula>AT5="No"</formula>
    </cfRule>
  </conditionalFormatting>
  <conditionalFormatting sqref="AW5:AW168">
    <cfRule type="expression" dxfId="377" priority="37">
      <formula>AW5="✓ OK"</formula>
    </cfRule>
    <cfRule type="expression" dxfId="376" priority="38">
      <formula>AW5="❌ Disc"</formula>
    </cfRule>
    <cfRule type="expression" dxfId="375" priority="39">
      <formula>AW5="⚠ Missing"</formula>
    </cfRule>
    <cfRule type="expression" dxfId="374" priority="40">
      <formula>AW5="⚠ Check"</formula>
    </cfRule>
  </conditionalFormatting>
  <dataValidations count="2">
    <dataValidation type="list" allowBlank="1" sqref="AT5:AT168 AQ5:AR168 AK5:AK168 AH5:AI168 AB5:AB168 Y5:Z168 S5:S168 P5:Q168 J5:J168 G5:H168" xr:uid="{00000000-0002-0000-0400-000000000000}">
      <formula1>"Yes,No"</formula1>
    </dataValidation>
    <dataValidation type="list" allowBlank="1" sqref="I5:I168 AS5:AS168 AJ5:AJ168 AA5:AA168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1403" activePane="bottomRight" state="frozen"/>
      <selection pane="topRight" activeCell="AU16" sqref="AU16"/>
      <selection pane="bottomLeft" activeCell="AU16" sqref="AU16"/>
      <selection pane="bottomRight" activeCell="G1415" sqref="G141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1263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1264</v>
      </c>
      <c r="C5" s="25" t="s">
        <v>1265</v>
      </c>
      <c r="D5" s="23" t="s">
        <v>1266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1267</v>
      </c>
      <c r="C6" s="44" t="s">
        <v>1268</v>
      </c>
      <c r="D6" s="42" t="s">
        <v>1266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1269</v>
      </c>
      <c r="C7" s="25" t="s">
        <v>1270</v>
      </c>
      <c r="D7" s="23" t="s">
        <v>1266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1271</v>
      </c>
      <c r="C8" s="44" t="s">
        <v>1272</v>
      </c>
      <c r="D8" s="42" t="s">
        <v>1266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1273</v>
      </c>
      <c r="C9" s="25" t="s">
        <v>1274</v>
      </c>
      <c r="D9" s="23" t="s">
        <v>1266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1275</v>
      </c>
      <c r="C10" s="44" t="s">
        <v>1276</v>
      </c>
      <c r="D10" s="42" t="s">
        <v>1266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1277</v>
      </c>
      <c r="C11" s="25" t="s">
        <v>1278</v>
      </c>
      <c r="D11" s="23" t="s">
        <v>1266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1279</v>
      </c>
      <c r="C12" s="44" t="s">
        <v>1280</v>
      </c>
      <c r="D12" s="42" t="s">
        <v>1266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1281</v>
      </c>
      <c r="C13" s="25" t="s">
        <v>1282</v>
      </c>
      <c r="D13" s="23" t="s">
        <v>1266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1283</v>
      </c>
      <c r="C14" s="44" t="s">
        <v>1284</v>
      </c>
      <c r="D14" s="42" t="s">
        <v>1266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1285</v>
      </c>
      <c r="C15" s="25" t="s">
        <v>1286</v>
      </c>
      <c r="D15" s="23" t="s">
        <v>1266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1287</v>
      </c>
      <c r="C16" s="44" t="s">
        <v>1288</v>
      </c>
      <c r="D16" s="42" t="s">
        <v>1266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1289</v>
      </c>
      <c r="C17" s="25" t="s">
        <v>1290</v>
      </c>
      <c r="D17" s="23" t="s">
        <v>1266</v>
      </c>
      <c r="E17" s="46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1291</v>
      </c>
      <c r="C18" s="44" t="s">
        <v>1292</v>
      </c>
      <c r="D18" s="42" t="s">
        <v>1266</v>
      </c>
      <c r="E18" s="46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1293</v>
      </c>
      <c r="C19" s="25" t="s">
        <v>1294</v>
      </c>
      <c r="D19" s="23" t="s">
        <v>1266</v>
      </c>
      <c r="E19" s="46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1295</v>
      </c>
      <c r="C20" s="44" t="s">
        <v>1296</v>
      </c>
      <c r="D20" s="42" t="s">
        <v>1266</v>
      </c>
      <c r="E20" s="46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1297</v>
      </c>
      <c r="C21" s="25" t="s">
        <v>1298</v>
      </c>
      <c r="D21" s="23" t="s">
        <v>1266</v>
      </c>
      <c r="E21" s="46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1299</v>
      </c>
      <c r="C22" s="44" t="s">
        <v>1300</v>
      </c>
      <c r="D22" s="42" t="s">
        <v>1266</v>
      </c>
      <c r="E22" s="46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1301</v>
      </c>
      <c r="C23" s="25" t="s">
        <v>1302</v>
      </c>
      <c r="D23" s="23" t="s">
        <v>1266</v>
      </c>
      <c r="E23" s="46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1303</v>
      </c>
      <c r="C24" s="44" t="s">
        <v>1304</v>
      </c>
      <c r="D24" s="42" t="s">
        <v>1266</v>
      </c>
      <c r="E24" s="46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1305</v>
      </c>
      <c r="C25" s="25" t="s">
        <v>1306</v>
      </c>
      <c r="D25" s="23" t="s">
        <v>1266</v>
      </c>
      <c r="E25" s="46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1307</v>
      </c>
      <c r="C26" s="44" t="s">
        <v>1308</v>
      </c>
      <c r="D26" s="42" t="s">
        <v>1266</v>
      </c>
      <c r="E26" s="46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1309</v>
      </c>
      <c r="C27" s="25" t="s">
        <v>1310</v>
      </c>
      <c r="D27" s="23" t="s">
        <v>1266</v>
      </c>
      <c r="E27" s="46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1311</v>
      </c>
      <c r="C28" s="44" t="s">
        <v>1312</v>
      </c>
      <c r="D28" s="42" t="s">
        <v>1266</v>
      </c>
      <c r="E28" s="46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1313</v>
      </c>
      <c r="C29" s="25" t="s">
        <v>1314</v>
      </c>
      <c r="D29" s="23" t="s">
        <v>1266</v>
      </c>
      <c r="E29" s="46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1315</v>
      </c>
      <c r="C30" s="44" t="s">
        <v>1316</v>
      </c>
      <c r="D30" s="42" t="s">
        <v>1266</v>
      </c>
      <c r="E30" s="46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1317</v>
      </c>
      <c r="C31" s="25" t="s">
        <v>1318</v>
      </c>
      <c r="D31" s="23" t="s">
        <v>1266</v>
      </c>
      <c r="E31" s="46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1319</v>
      </c>
      <c r="C32" s="44" t="s">
        <v>1320</v>
      </c>
      <c r="D32" s="42" t="s">
        <v>1266</v>
      </c>
      <c r="E32" s="46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1321</v>
      </c>
      <c r="C33" s="25" t="s">
        <v>1322</v>
      </c>
      <c r="D33" s="23" t="s">
        <v>1266</v>
      </c>
      <c r="E33" s="46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1323</v>
      </c>
      <c r="C34" s="44" t="s">
        <v>1324</v>
      </c>
      <c r="D34" s="42" t="s">
        <v>1266</v>
      </c>
      <c r="E34" s="46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1325</v>
      </c>
      <c r="C35" s="25" t="s">
        <v>1326</v>
      </c>
      <c r="D35" s="23" t="s">
        <v>1266</v>
      </c>
      <c r="E35" s="46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1327</v>
      </c>
      <c r="C36" s="44" t="s">
        <v>1328</v>
      </c>
      <c r="D36" s="42" t="s">
        <v>1266</v>
      </c>
      <c r="E36" s="46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1329</v>
      </c>
      <c r="C37" s="25" t="s">
        <v>1330</v>
      </c>
      <c r="D37" s="23" t="s">
        <v>1266</v>
      </c>
      <c r="E37" s="46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1331</v>
      </c>
      <c r="C38" s="44" t="s">
        <v>1332</v>
      </c>
      <c r="D38" s="42" t="s">
        <v>1266</v>
      </c>
      <c r="E38" s="46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1333</v>
      </c>
      <c r="C39" s="25" t="s">
        <v>1334</v>
      </c>
      <c r="D39" s="23" t="s">
        <v>1266</v>
      </c>
      <c r="E39" s="46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1335</v>
      </c>
      <c r="C40" s="44" t="s">
        <v>1336</v>
      </c>
      <c r="D40" s="42" t="s">
        <v>1266</v>
      </c>
      <c r="E40" s="46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1337</v>
      </c>
      <c r="C41" s="25" t="s">
        <v>1338</v>
      </c>
      <c r="D41" s="23" t="s">
        <v>1266</v>
      </c>
      <c r="E41" s="46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1339</v>
      </c>
      <c r="C42" s="44" t="s">
        <v>1340</v>
      </c>
      <c r="D42" s="42" t="s">
        <v>1266</v>
      </c>
      <c r="E42" s="46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1341</v>
      </c>
      <c r="C43" s="25" t="s">
        <v>1342</v>
      </c>
      <c r="D43" s="23" t="s">
        <v>1266</v>
      </c>
      <c r="E43" s="46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1343</v>
      </c>
      <c r="C44" s="44" t="s">
        <v>1344</v>
      </c>
      <c r="D44" s="42" t="s">
        <v>1266</v>
      </c>
      <c r="E44" s="46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1345</v>
      </c>
      <c r="C45" s="25" t="s">
        <v>1346</v>
      </c>
      <c r="D45" s="23" t="s">
        <v>1266</v>
      </c>
      <c r="E45" s="46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1347</v>
      </c>
      <c r="C46" s="44" t="s">
        <v>1348</v>
      </c>
      <c r="D46" s="42" t="s">
        <v>1266</v>
      </c>
      <c r="E46" s="46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1349</v>
      </c>
      <c r="C47" s="25" t="s">
        <v>1350</v>
      </c>
      <c r="D47" s="23" t="s">
        <v>1266</v>
      </c>
      <c r="E47" s="46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1351</v>
      </c>
      <c r="C48" s="44" t="s">
        <v>1352</v>
      </c>
      <c r="D48" s="42" t="s">
        <v>1266</v>
      </c>
      <c r="E48" s="46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1353</v>
      </c>
      <c r="C49" s="25" t="s">
        <v>1354</v>
      </c>
      <c r="D49" s="23" t="s">
        <v>1266</v>
      </c>
      <c r="E49" s="46">
        <v>46125</v>
      </c>
      <c r="F49" s="26" t="s">
        <v>6222</v>
      </c>
      <c r="G49" s="26" t="s">
        <v>6224</v>
      </c>
      <c r="H49" s="26" t="s">
        <v>6223</v>
      </c>
      <c r="I49" s="26" t="s">
        <v>6225</v>
      </c>
      <c r="J49" s="26" t="s">
        <v>6224</v>
      </c>
      <c r="K49" s="27"/>
      <c r="L49" s="28" t="s">
        <v>6223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1355</v>
      </c>
      <c r="C50" s="44" t="s">
        <v>1356</v>
      </c>
      <c r="D50" s="42" t="s">
        <v>1266</v>
      </c>
      <c r="E50" s="46">
        <v>46125</v>
      </c>
      <c r="F50" s="26" t="s">
        <v>6222</v>
      </c>
      <c r="G50" s="26" t="s">
        <v>6224</v>
      </c>
      <c r="H50" s="26" t="s">
        <v>6223</v>
      </c>
      <c r="I50" s="26" t="s">
        <v>6225</v>
      </c>
      <c r="J50" s="26" t="s">
        <v>6224</v>
      </c>
      <c r="K50" s="27"/>
      <c r="L50" s="28" t="s">
        <v>6223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1357</v>
      </c>
      <c r="C51" s="25" t="s">
        <v>1358</v>
      </c>
      <c r="D51" s="23" t="s">
        <v>1266</v>
      </c>
      <c r="E51" s="46">
        <v>46125</v>
      </c>
      <c r="F51" s="26" t="s">
        <v>6222</v>
      </c>
      <c r="G51" s="26" t="s">
        <v>6224</v>
      </c>
      <c r="H51" s="26" t="s">
        <v>6223</v>
      </c>
      <c r="I51" s="26" t="s">
        <v>6225</v>
      </c>
      <c r="J51" s="26" t="s">
        <v>6224</v>
      </c>
      <c r="K51" s="27"/>
      <c r="L51" s="28" t="s">
        <v>6223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1359</v>
      </c>
      <c r="C52" s="44" t="s">
        <v>1360</v>
      </c>
      <c r="D52" s="42" t="s">
        <v>1266</v>
      </c>
      <c r="E52" s="46">
        <v>46125</v>
      </c>
      <c r="F52" s="26" t="s">
        <v>6222</v>
      </c>
      <c r="G52" s="26" t="s">
        <v>6224</v>
      </c>
      <c r="H52" s="26" t="s">
        <v>6223</v>
      </c>
      <c r="I52" s="26" t="s">
        <v>6225</v>
      </c>
      <c r="J52" s="26" t="s">
        <v>6224</v>
      </c>
      <c r="K52" s="27"/>
      <c r="L52" s="28" t="s">
        <v>6223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1361</v>
      </c>
      <c r="C53" s="25" t="s">
        <v>1362</v>
      </c>
      <c r="D53" s="23" t="s">
        <v>1266</v>
      </c>
      <c r="E53" s="46">
        <v>46125</v>
      </c>
      <c r="F53" s="26" t="s">
        <v>6222</v>
      </c>
      <c r="G53" s="26" t="s">
        <v>6224</v>
      </c>
      <c r="H53" s="26" t="s">
        <v>6223</v>
      </c>
      <c r="I53" s="26" t="s">
        <v>6225</v>
      </c>
      <c r="J53" s="26" t="s">
        <v>6224</v>
      </c>
      <c r="K53" s="27"/>
      <c r="L53" s="28" t="s">
        <v>6223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1363</v>
      </c>
      <c r="C54" s="44" t="s">
        <v>1364</v>
      </c>
      <c r="D54" s="42" t="s">
        <v>1266</v>
      </c>
      <c r="E54" s="46">
        <v>46125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1365</v>
      </c>
      <c r="C55" s="25" t="s">
        <v>1366</v>
      </c>
      <c r="D55" s="23" t="s">
        <v>1266</v>
      </c>
      <c r="E55" s="46">
        <v>46125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1367</v>
      </c>
      <c r="C56" s="44" t="s">
        <v>1368</v>
      </c>
      <c r="D56" s="42" t="s">
        <v>1266</v>
      </c>
      <c r="E56" s="46">
        <v>46125</v>
      </c>
      <c r="F56" s="26" t="s">
        <v>6222</v>
      </c>
      <c r="G56" s="26" t="s">
        <v>6224</v>
      </c>
      <c r="H56" s="26" t="s">
        <v>6223</v>
      </c>
      <c r="I56" s="26" t="s">
        <v>6225</v>
      </c>
      <c r="J56" s="26" t="s">
        <v>6224</v>
      </c>
      <c r="K56" s="27"/>
      <c r="L56" s="28" t="s">
        <v>6223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1369</v>
      </c>
      <c r="C57" s="25" t="s">
        <v>1370</v>
      </c>
      <c r="D57" s="23" t="s">
        <v>1266</v>
      </c>
      <c r="E57" s="46">
        <v>46125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1371</v>
      </c>
      <c r="C58" s="44" t="s">
        <v>1372</v>
      </c>
      <c r="D58" s="42" t="s">
        <v>1266</v>
      </c>
      <c r="E58" s="46">
        <v>46125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1373</v>
      </c>
      <c r="C59" s="25" t="s">
        <v>1374</v>
      </c>
      <c r="D59" s="23" t="s">
        <v>1266</v>
      </c>
      <c r="E59" s="46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1375</v>
      </c>
      <c r="C60" s="44" t="s">
        <v>1376</v>
      </c>
      <c r="D60" s="42" t="s">
        <v>1266</v>
      </c>
      <c r="E60" s="46">
        <v>46125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1377</v>
      </c>
      <c r="C61" s="25" t="s">
        <v>1378</v>
      </c>
      <c r="D61" s="23" t="s">
        <v>1266</v>
      </c>
      <c r="E61" s="46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1379</v>
      </c>
      <c r="C62" s="44" t="s">
        <v>1380</v>
      </c>
      <c r="D62" s="42" t="s">
        <v>1266</v>
      </c>
      <c r="E62" s="46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1381</v>
      </c>
      <c r="C63" s="25" t="s">
        <v>1382</v>
      </c>
      <c r="D63" s="23" t="s">
        <v>1266</v>
      </c>
      <c r="E63" s="46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1383</v>
      </c>
      <c r="C64" s="44" t="s">
        <v>1384</v>
      </c>
      <c r="D64" s="42" t="s">
        <v>1266</v>
      </c>
      <c r="E64" s="46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1385</v>
      </c>
      <c r="C65" s="25" t="s">
        <v>1386</v>
      </c>
      <c r="D65" s="23" t="s">
        <v>1266</v>
      </c>
      <c r="E65" s="46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1387</v>
      </c>
      <c r="C66" s="44" t="s">
        <v>1388</v>
      </c>
      <c r="D66" s="42" t="s">
        <v>1266</v>
      </c>
      <c r="E66" s="46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1389</v>
      </c>
      <c r="C67" s="25" t="s">
        <v>1390</v>
      </c>
      <c r="D67" s="23" t="s">
        <v>1266</v>
      </c>
      <c r="E67" s="46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1391</v>
      </c>
      <c r="C68" s="44" t="s">
        <v>1392</v>
      </c>
      <c r="D68" s="42" t="s">
        <v>1266</v>
      </c>
      <c r="E68" s="46">
        <v>46125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1393</v>
      </c>
      <c r="C69" s="25" t="s">
        <v>1394</v>
      </c>
      <c r="D69" s="23" t="s">
        <v>1266</v>
      </c>
      <c r="E69" s="46">
        <v>46125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1395</v>
      </c>
      <c r="C70" s="44" t="s">
        <v>1396</v>
      </c>
      <c r="D70" s="42" t="s">
        <v>1266</v>
      </c>
      <c r="E70" s="46">
        <v>46125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1397</v>
      </c>
      <c r="C71" s="25" t="s">
        <v>1398</v>
      </c>
      <c r="D71" s="23" t="s">
        <v>1266</v>
      </c>
      <c r="E71" s="46">
        <v>46125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1399</v>
      </c>
      <c r="C72" s="44" t="s">
        <v>1400</v>
      </c>
      <c r="D72" s="42" t="s">
        <v>1266</v>
      </c>
      <c r="E72" s="46">
        <v>46125</v>
      </c>
      <c r="F72" s="26" t="s">
        <v>6222</v>
      </c>
      <c r="G72" s="26" t="s">
        <v>6224</v>
      </c>
      <c r="H72" s="26" t="s">
        <v>6223</v>
      </c>
      <c r="I72" s="26" t="s">
        <v>6225</v>
      </c>
      <c r="J72" s="26" t="s">
        <v>6224</v>
      </c>
      <c r="K72" s="27"/>
      <c r="L72" s="28" t="s">
        <v>6223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1401</v>
      </c>
      <c r="C73" s="25" t="s">
        <v>1402</v>
      </c>
      <c r="D73" s="23" t="s">
        <v>1266</v>
      </c>
      <c r="E73" s="46">
        <v>46125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1403</v>
      </c>
      <c r="C74" s="44" t="s">
        <v>1404</v>
      </c>
      <c r="D74" s="42" t="s">
        <v>1266</v>
      </c>
      <c r="E74" s="46">
        <v>46125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1405</v>
      </c>
      <c r="C75" s="25" t="s">
        <v>1406</v>
      </c>
      <c r="D75" s="23" t="s">
        <v>1266</v>
      </c>
      <c r="E75" s="46">
        <v>46125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1407</v>
      </c>
      <c r="C76" s="44" t="s">
        <v>1408</v>
      </c>
      <c r="D76" s="42" t="s">
        <v>1266</v>
      </c>
      <c r="E76" s="46">
        <v>46125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1409</v>
      </c>
      <c r="C77" s="25" t="s">
        <v>1410</v>
      </c>
      <c r="D77" s="23" t="s">
        <v>1266</v>
      </c>
      <c r="E77" s="46">
        <v>46125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1411</v>
      </c>
      <c r="C78" s="44" t="s">
        <v>1412</v>
      </c>
      <c r="D78" s="42" t="s">
        <v>1266</v>
      </c>
      <c r="E78" s="46">
        <v>46125</v>
      </c>
      <c r="F78" s="26" t="s">
        <v>6222</v>
      </c>
      <c r="G78" s="26" t="s">
        <v>6224</v>
      </c>
      <c r="H78" s="26" t="s">
        <v>6223</v>
      </c>
      <c r="I78" s="26" t="s">
        <v>6225</v>
      </c>
      <c r="J78" s="26" t="s">
        <v>6224</v>
      </c>
      <c r="K78" s="27"/>
      <c r="L78" s="28" t="s">
        <v>6223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1413</v>
      </c>
      <c r="C79" s="25" t="s">
        <v>1414</v>
      </c>
      <c r="D79" s="23" t="s">
        <v>1266</v>
      </c>
      <c r="E79" s="46">
        <v>46125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1415</v>
      </c>
      <c r="C80" s="44" t="s">
        <v>1416</v>
      </c>
      <c r="D80" s="42" t="s">
        <v>1266</v>
      </c>
      <c r="E80" s="46">
        <v>46125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1417</v>
      </c>
      <c r="C81" s="25" t="s">
        <v>1418</v>
      </c>
      <c r="D81" s="23" t="s">
        <v>1266</v>
      </c>
      <c r="E81" s="46">
        <v>46125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6223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1419</v>
      </c>
      <c r="C82" s="44" t="s">
        <v>1420</v>
      </c>
      <c r="D82" s="42" t="s">
        <v>1266</v>
      </c>
      <c r="E82" s="46">
        <v>46125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1421</v>
      </c>
      <c r="C83" s="25" t="s">
        <v>1422</v>
      </c>
      <c r="D83" s="23" t="s">
        <v>1266</v>
      </c>
      <c r="E83" s="46">
        <v>46125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1423</v>
      </c>
      <c r="C84" s="44" t="s">
        <v>1424</v>
      </c>
      <c r="D84" s="42" t="s">
        <v>1266</v>
      </c>
      <c r="E84" s="46">
        <v>46125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1425</v>
      </c>
      <c r="C85" s="25" t="s">
        <v>1426</v>
      </c>
      <c r="D85" s="23" t="s">
        <v>1266</v>
      </c>
      <c r="E85" s="46">
        <v>46125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1427</v>
      </c>
      <c r="C86" s="44" t="s">
        <v>1428</v>
      </c>
      <c r="D86" s="42" t="s">
        <v>1266</v>
      </c>
      <c r="E86" s="46">
        <v>46125</v>
      </c>
      <c r="F86" s="26" t="s">
        <v>6222</v>
      </c>
      <c r="G86" s="26" t="s">
        <v>6224</v>
      </c>
      <c r="H86" s="26" t="s">
        <v>6223</v>
      </c>
      <c r="I86" s="26" t="s">
        <v>6225</v>
      </c>
      <c r="J86" s="26" t="s">
        <v>6224</v>
      </c>
      <c r="K86" s="27"/>
      <c r="L86" s="28" t="s">
        <v>6223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1429</v>
      </c>
      <c r="C87" s="25" t="s">
        <v>1430</v>
      </c>
      <c r="D87" s="23" t="s">
        <v>1266</v>
      </c>
      <c r="E87" s="46">
        <v>46125</v>
      </c>
      <c r="F87" s="26" t="s">
        <v>6222</v>
      </c>
      <c r="G87" s="26" t="s">
        <v>6224</v>
      </c>
      <c r="H87" s="26" t="s">
        <v>6223</v>
      </c>
      <c r="I87" s="26" t="s">
        <v>6225</v>
      </c>
      <c r="J87" s="26" t="s">
        <v>6224</v>
      </c>
      <c r="K87" s="27"/>
      <c r="L87" s="28" t="s">
        <v>6223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1431</v>
      </c>
      <c r="C88" s="44" t="s">
        <v>1432</v>
      </c>
      <c r="D88" s="42" t="s">
        <v>1266</v>
      </c>
      <c r="E88" s="46">
        <v>46125</v>
      </c>
      <c r="F88" s="26" t="s">
        <v>6222</v>
      </c>
      <c r="G88" s="26" t="s">
        <v>6224</v>
      </c>
      <c r="H88" s="26" t="s">
        <v>6223</v>
      </c>
      <c r="I88" s="26" t="s">
        <v>6225</v>
      </c>
      <c r="J88" s="26" t="s">
        <v>6224</v>
      </c>
      <c r="K88" s="27"/>
      <c r="L88" s="28" t="s">
        <v>6223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1433</v>
      </c>
      <c r="C89" s="25" t="s">
        <v>1434</v>
      </c>
      <c r="D89" s="23" t="s">
        <v>1266</v>
      </c>
      <c r="E89" s="46">
        <v>46125</v>
      </c>
      <c r="F89" s="26" t="s">
        <v>6222</v>
      </c>
      <c r="G89" s="26" t="s">
        <v>6224</v>
      </c>
      <c r="H89" s="26" t="s">
        <v>6223</v>
      </c>
      <c r="I89" s="26" t="s">
        <v>6225</v>
      </c>
      <c r="J89" s="26" t="s">
        <v>6224</v>
      </c>
      <c r="K89" s="27"/>
      <c r="L89" s="28" t="s">
        <v>6223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1435</v>
      </c>
      <c r="C90" s="44" t="s">
        <v>1436</v>
      </c>
      <c r="D90" s="42" t="s">
        <v>1266</v>
      </c>
      <c r="E90" s="46">
        <v>46125</v>
      </c>
      <c r="F90" s="26" t="s">
        <v>6222</v>
      </c>
      <c r="G90" s="26" t="s">
        <v>6224</v>
      </c>
      <c r="H90" s="26" t="s">
        <v>6223</v>
      </c>
      <c r="I90" s="26" t="s">
        <v>6225</v>
      </c>
      <c r="J90" s="26" t="s">
        <v>6224</v>
      </c>
      <c r="K90" s="27"/>
      <c r="L90" s="28" t="s">
        <v>6223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1437</v>
      </c>
      <c r="C91" s="25" t="s">
        <v>1438</v>
      </c>
      <c r="D91" s="23" t="s">
        <v>1266</v>
      </c>
      <c r="E91" s="46">
        <v>46125</v>
      </c>
      <c r="F91" s="26" t="s">
        <v>6222</v>
      </c>
      <c r="G91" s="26" t="s">
        <v>6224</v>
      </c>
      <c r="H91" s="26" t="s">
        <v>6223</v>
      </c>
      <c r="I91" s="26" t="s">
        <v>6225</v>
      </c>
      <c r="J91" s="26" t="s">
        <v>6224</v>
      </c>
      <c r="K91" s="27"/>
      <c r="L91" s="28" t="s">
        <v>6223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1439</v>
      </c>
      <c r="C92" s="44" t="s">
        <v>1440</v>
      </c>
      <c r="D92" s="42" t="s">
        <v>1266</v>
      </c>
      <c r="E92" s="46">
        <v>46125</v>
      </c>
      <c r="F92" s="26" t="s">
        <v>6222</v>
      </c>
      <c r="G92" s="26" t="s">
        <v>6224</v>
      </c>
      <c r="H92" s="26" t="s">
        <v>6223</v>
      </c>
      <c r="I92" s="26" t="s">
        <v>6225</v>
      </c>
      <c r="J92" s="26" t="s">
        <v>6224</v>
      </c>
      <c r="K92" s="27"/>
      <c r="L92" s="28" t="s">
        <v>6223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1441</v>
      </c>
      <c r="C93" s="25" t="s">
        <v>1442</v>
      </c>
      <c r="D93" s="23" t="s">
        <v>1266</v>
      </c>
      <c r="E93" s="46">
        <v>46125</v>
      </c>
      <c r="F93" s="26" t="s">
        <v>6222</v>
      </c>
      <c r="G93" s="26" t="s">
        <v>6224</v>
      </c>
      <c r="H93" s="26" t="s">
        <v>6223</v>
      </c>
      <c r="I93" s="26" t="s">
        <v>6225</v>
      </c>
      <c r="J93" s="26" t="s">
        <v>6224</v>
      </c>
      <c r="K93" s="27"/>
      <c r="L93" s="28" t="s">
        <v>6223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1443</v>
      </c>
      <c r="C94" s="44" t="s">
        <v>1444</v>
      </c>
      <c r="D94" s="42" t="s">
        <v>1266</v>
      </c>
      <c r="E94" s="46">
        <v>46125</v>
      </c>
      <c r="F94" s="26" t="s">
        <v>6222</v>
      </c>
      <c r="G94" s="26" t="s">
        <v>6224</v>
      </c>
      <c r="H94" s="26" t="s">
        <v>6223</v>
      </c>
      <c r="I94" s="26" t="s">
        <v>6225</v>
      </c>
      <c r="J94" s="26" t="s">
        <v>6224</v>
      </c>
      <c r="K94" s="27"/>
      <c r="L94" s="28" t="s">
        <v>6223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1445</v>
      </c>
      <c r="C95" s="25" t="s">
        <v>1446</v>
      </c>
      <c r="D95" s="23" t="s">
        <v>1266</v>
      </c>
      <c r="E95" s="46">
        <v>46125</v>
      </c>
      <c r="F95" s="26" t="s">
        <v>6222</v>
      </c>
      <c r="G95" s="26" t="s">
        <v>6224</v>
      </c>
      <c r="H95" s="26" t="s">
        <v>6223</v>
      </c>
      <c r="I95" s="26" t="s">
        <v>6225</v>
      </c>
      <c r="J95" s="26" t="s">
        <v>6224</v>
      </c>
      <c r="K95" s="27"/>
      <c r="L95" s="28" t="s">
        <v>6223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1447</v>
      </c>
      <c r="C96" s="44" t="s">
        <v>1448</v>
      </c>
      <c r="D96" s="42" t="s">
        <v>1266</v>
      </c>
      <c r="E96" s="46">
        <v>46125</v>
      </c>
      <c r="F96" s="26" t="s">
        <v>6222</v>
      </c>
      <c r="G96" s="26" t="s">
        <v>6224</v>
      </c>
      <c r="H96" s="26" t="s">
        <v>6223</v>
      </c>
      <c r="I96" s="26" t="s">
        <v>6225</v>
      </c>
      <c r="J96" s="26" t="s">
        <v>6224</v>
      </c>
      <c r="K96" s="27"/>
      <c r="L96" s="28" t="s">
        <v>6223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1449</v>
      </c>
      <c r="C97" s="25" t="s">
        <v>1450</v>
      </c>
      <c r="D97" s="23" t="s">
        <v>1266</v>
      </c>
      <c r="E97" s="46">
        <v>46125</v>
      </c>
      <c r="F97" s="26" t="s">
        <v>6222</v>
      </c>
      <c r="G97" s="26" t="s">
        <v>6224</v>
      </c>
      <c r="H97" s="26" t="s">
        <v>6223</v>
      </c>
      <c r="I97" s="26" t="s">
        <v>6225</v>
      </c>
      <c r="J97" s="26" t="s">
        <v>6224</v>
      </c>
      <c r="K97" s="27"/>
      <c r="L97" s="28" t="s">
        <v>6223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1451</v>
      </c>
      <c r="C98" s="44" t="s">
        <v>1452</v>
      </c>
      <c r="D98" s="42" t="s">
        <v>1266</v>
      </c>
      <c r="E98" s="46">
        <v>46125</v>
      </c>
      <c r="F98" s="26" t="s">
        <v>6222</v>
      </c>
      <c r="G98" s="26" t="s">
        <v>6224</v>
      </c>
      <c r="H98" s="26" t="s">
        <v>6223</v>
      </c>
      <c r="I98" s="26" t="s">
        <v>6225</v>
      </c>
      <c r="J98" s="26" t="s">
        <v>6224</v>
      </c>
      <c r="K98" s="27"/>
      <c r="L98" s="28" t="s">
        <v>6223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1453</v>
      </c>
      <c r="C99" s="25" t="s">
        <v>1454</v>
      </c>
      <c r="D99" s="23" t="s">
        <v>1266</v>
      </c>
      <c r="E99" s="46">
        <v>46125</v>
      </c>
      <c r="F99" s="26" t="s">
        <v>6222</v>
      </c>
      <c r="G99" s="26" t="s">
        <v>6224</v>
      </c>
      <c r="H99" s="26" t="s">
        <v>6223</v>
      </c>
      <c r="I99" s="26" t="s">
        <v>6225</v>
      </c>
      <c r="J99" s="26" t="s">
        <v>6224</v>
      </c>
      <c r="K99" s="27"/>
      <c r="L99" s="28" t="s">
        <v>6223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1455</v>
      </c>
      <c r="C100" s="44" t="s">
        <v>1456</v>
      </c>
      <c r="D100" s="42" t="s">
        <v>1266</v>
      </c>
      <c r="E100" s="46">
        <v>46125</v>
      </c>
      <c r="F100" s="26" t="s">
        <v>6222</v>
      </c>
      <c r="G100" s="26" t="s">
        <v>6224</v>
      </c>
      <c r="H100" s="26" t="s">
        <v>6223</v>
      </c>
      <c r="I100" s="26" t="s">
        <v>6225</v>
      </c>
      <c r="J100" s="26" t="s">
        <v>6224</v>
      </c>
      <c r="K100" s="27"/>
      <c r="L100" s="28" t="s">
        <v>6223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1457</v>
      </c>
      <c r="C101" s="25" t="s">
        <v>1458</v>
      </c>
      <c r="D101" s="23" t="s">
        <v>1266</v>
      </c>
      <c r="E101" s="46">
        <v>46125</v>
      </c>
      <c r="F101" s="26" t="s">
        <v>6222</v>
      </c>
      <c r="G101" s="26" t="s">
        <v>6224</v>
      </c>
      <c r="H101" s="26" t="s">
        <v>6223</v>
      </c>
      <c r="I101" s="26" t="s">
        <v>6225</v>
      </c>
      <c r="J101" s="26" t="s">
        <v>6224</v>
      </c>
      <c r="K101" s="27"/>
      <c r="L101" s="28" t="s">
        <v>6223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1459</v>
      </c>
      <c r="C102" s="44" t="s">
        <v>1460</v>
      </c>
      <c r="D102" s="42" t="s">
        <v>1266</v>
      </c>
      <c r="E102" s="46">
        <v>46125</v>
      </c>
      <c r="F102" s="26" t="s">
        <v>6222</v>
      </c>
      <c r="G102" s="26" t="s">
        <v>6224</v>
      </c>
      <c r="H102" s="26" t="s">
        <v>6223</v>
      </c>
      <c r="I102" s="26" t="s">
        <v>6225</v>
      </c>
      <c r="J102" s="26" t="s">
        <v>6224</v>
      </c>
      <c r="K102" s="27"/>
      <c r="L102" s="28" t="s">
        <v>6223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1461</v>
      </c>
      <c r="C103" s="25" t="s">
        <v>1462</v>
      </c>
      <c r="D103" s="23" t="s">
        <v>1266</v>
      </c>
      <c r="E103" s="46">
        <v>46125</v>
      </c>
      <c r="F103" s="26" t="s">
        <v>6222</v>
      </c>
      <c r="G103" s="26" t="s">
        <v>6224</v>
      </c>
      <c r="H103" s="26" t="s">
        <v>6223</v>
      </c>
      <c r="I103" s="26" t="s">
        <v>6225</v>
      </c>
      <c r="J103" s="26" t="s">
        <v>6224</v>
      </c>
      <c r="K103" s="27"/>
      <c r="L103" s="28" t="s">
        <v>6223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1463</v>
      </c>
      <c r="C104" s="44" t="s">
        <v>1464</v>
      </c>
      <c r="D104" s="42" t="s">
        <v>1266</v>
      </c>
      <c r="E104" s="46">
        <v>46125</v>
      </c>
      <c r="F104" s="26" t="s">
        <v>6222</v>
      </c>
      <c r="G104" s="26" t="s">
        <v>6224</v>
      </c>
      <c r="H104" s="26" t="s">
        <v>6223</v>
      </c>
      <c r="I104" s="26" t="s">
        <v>6225</v>
      </c>
      <c r="J104" s="26" t="s">
        <v>6224</v>
      </c>
      <c r="K104" s="27"/>
      <c r="L104" s="28" t="s">
        <v>6223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1465</v>
      </c>
      <c r="C105" s="25" t="s">
        <v>1466</v>
      </c>
      <c r="D105" s="23" t="s">
        <v>1266</v>
      </c>
      <c r="E105" s="46">
        <v>46125</v>
      </c>
      <c r="F105" s="26" t="s">
        <v>6222</v>
      </c>
      <c r="G105" s="26" t="s">
        <v>6224</v>
      </c>
      <c r="H105" s="26" t="s">
        <v>6223</v>
      </c>
      <c r="I105" s="26" t="s">
        <v>6225</v>
      </c>
      <c r="J105" s="26" t="s">
        <v>6224</v>
      </c>
      <c r="K105" s="27"/>
      <c r="L105" s="28" t="s">
        <v>6223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1467</v>
      </c>
      <c r="C106" s="44" t="s">
        <v>1468</v>
      </c>
      <c r="D106" s="42" t="s">
        <v>1266</v>
      </c>
      <c r="E106" s="46">
        <v>46125</v>
      </c>
      <c r="F106" s="26" t="s">
        <v>6222</v>
      </c>
      <c r="G106" s="26" t="s">
        <v>6224</v>
      </c>
      <c r="H106" s="26" t="s">
        <v>6223</v>
      </c>
      <c r="I106" s="26" t="s">
        <v>6225</v>
      </c>
      <c r="J106" s="26" t="s">
        <v>6224</v>
      </c>
      <c r="K106" s="27"/>
      <c r="L106" s="28" t="s">
        <v>6223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1469</v>
      </c>
      <c r="C107" s="25" t="s">
        <v>1470</v>
      </c>
      <c r="D107" s="23" t="s">
        <v>1266</v>
      </c>
      <c r="E107" s="46">
        <v>46125</v>
      </c>
      <c r="F107" s="26" t="s">
        <v>6222</v>
      </c>
      <c r="G107" s="26" t="s">
        <v>6224</v>
      </c>
      <c r="H107" s="26" t="s">
        <v>6223</v>
      </c>
      <c r="I107" s="26" t="s">
        <v>6225</v>
      </c>
      <c r="J107" s="26" t="s">
        <v>6224</v>
      </c>
      <c r="K107" s="27"/>
      <c r="L107" s="28" t="s">
        <v>6223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1471</v>
      </c>
      <c r="C108" s="44" t="s">
        <v>1472</v>
      </c>
      <c r="D108" s="42" t="s">
        <v>1266</v>
      </c>
      <c r="E108" s="46">
        <v>46125</v>
      </c>
      <c r="F108" s="26" t="s">
        <v>6222</v>
      </c>
      <c r="G108" s="26" t="s">
        <v>6224</v>
      </c>
      <c r="H108" s="26" t="s">
        <v>6223</v>
      </c>
      <c r="I108" s="26" t="s">
        <v>6225</v>
      </c>
      <c r="J108" s="26" t="s">
        <v>6224</v>
      </c>
      <c r="K108" s="27"/>
      <c r="L108" s="28" t="s">
        <v>6223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1473</v>
      </c>
      <c r="C109" s="25" t="s">
        <v>1474</v>
      </c>
      <c r="D109" s="23" t="s">
        <v>1266</v>
      </c>
      <c r="E109" s="46">
        <v>46125</v>
      </c>
      <c r="F109" s="26" t="s">
        <v>6222</v>
      </c>
      <c r="G109" s="26" t="s">
        <v>6224</v>
      </c>
      <c r="H109" s="26" t="s">
        <v>6223</v>
      </c>
      <c r="I109" s="26" t="s">
        <v>6225</v>
      </c>
      <c r="J109" s="26" t="s">
        <v>6224</v>
      </c>
      <c r="K109" s="27"/>
      <c r="L109" s="28" t="s">
        <v>6223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1475</v>
      </c>
      <c r="C110" s="44" t="s">
        <v>1476</v>
      </c>
      <c r="D110" s="42" t="s">
        <v>1266</v>
      </c>
      <c r="E110" s="46">
        <v>46125</v>
      </c>
      <c r="F110" s="26" t="s">
        <v>6222</v>
      </c>
      <c r="G110" s="26" t="s">
        <v>6224</v>
      </c>
      <c r="H110" s="26" t="s">
        <v>6223</v>
      </c>
      <c r="I110" s="26" t="s">
        <v>6225</v>
      </c>
      <c r="J110" s="26" t="s">
        <v>6224</v>
      </c>
      <c r="K110" s="27"/>
      <c r="L110" s="28" t="s">
        <v>6223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1477</v>
      </c>
      <c r="C111" s="25" t="s">
        <v>1478</v>
      </c>
      <c r="D111" s="23" t="s">
        <v>1266</v>
      </c>
      <c r="E111" s="46">
        <v>46125</v>
      </c>
      <c r="F111" s="26" t="s">
        <v>6222</v>
      </c>
      <c r="G111" s="26" t="s">
        <v>6224</v>
      </c>
      <c r="H111" s="26" t="s">
        <v>6223</v>
      </c>
      <c r="I111" s="26" t="s">
        <v>6225</v>
      </c>
      <c r="J111" s="26" t="s">
        <v>6224</v>
      </c>
      <c r="K111" s="27"/>
      <c r="L111" s="28" t="s">
        <v>6223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1479</v>
      </c>
      <c r="C112" s="44" t="s">
        <v>1480</v>
      </c>
      <c r="D112" s="42" t="s">
        <v>1266</v>
      </c>
      <c r="E112" s="46">
        <v>46125</v>
      </c>
      <c r="F112" s="26" t="s">
        <v>6222</v>
      </c>
      <c r="G112" s="26" t="s">
        <v>6224</v>
      </c>
      <c r="H112" s="26" t="s">
        <v>6223</v>
      </c>
      <c r="I112" s="26" t="s">
        <v>6225</v>
      </c>
      <c r="J112" s="26" t="s">
        <v>6224</v>
      </c>
      <c r="K112" s="27"/>
      <c r="L112" s="28" t="s">
        <v>6223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1481</v>
      </c>
      <c r="C113" s="25" t="s">
        <v>1482</v>
      </c>
      <c r="D113" s="23" t="s">
        <v>1266</v>
      </c>
      <c r="E113" s="46">
        <v>46125</v>
      </c>
      <c r="F113" s="26" t="s">
        <v>6222</v>
      </c>
      <c r="G113" s="26" t="s">
        <v>6224</v>
      </c>
      <c r="H113" s="26" t="s">
        <v>6223</v>
      </c>
      <c r="I113" s="26" t="s">
        <v>6225</v>
      </c>
      <c r="J113" s="26" t="s">
        <v>6224</v>
      </c>
      <c r="K113" s="27"/>
      <c r="L113" s="28" t="s">
        <v>6223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1483</v>
      </c>
      <c r="C114" s="44" t="s">
        <v>1484</v>
      </c>
      <c r="D114" s="42" t="s">
        <v>1266</v>
      </c>
      <c r="E114" s="46">
        <v>46125</v>
      </c>
      <c r="F114" s="26" t="s">
        <v>6222</v>
      </c>
      <c r="G114" s="26" t="s">
        <v>6224</v>
      </c>
      <c r="H114" s="26" t="s">
        <v>6223</v>
      </c>
      <c r="I114" s="26" t="s">
        <v>6225</v>
      </c>
      <c r="J114" s="26" t="s">
        <v>6224</v>
      </c>
      <c r="K114" s="27"/>
      <c r="L114" s="28" t="s">
        <v>6223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1485</v>
      </c>
      <c r="C115" s="25" t="s">
        <v>1486</v>
      </c>
      <c r="D115" s="23" t="s">
        <v>1266</v>
      </c>
      <c r="E115" s="46">
        <v>46125</v>
      </c>
      <c r="F115" s="26" t="s">
        <v>6222</v>
      </c>
      <c r="G115" s="26" t="s">
        <v>6224</v>
      </c>
      <c r="H115" s="26" t="s">
        <v>6223</v>
      </c>
      <c r="I115" s="26" t="s">
        <v>6225</v>
      </c>
      <c r="J115" s="26" t="s">
        <v>6224</v>
      </c>
      <c r="K115" s="27"/>
      <c r="L115" s="28" t="s">
        <v>6223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1487</v>
      </c>
      <c r="C116" s="44" t="s">
        <v>1488</v>
      </c>
      <c r="D116" s="42" t="s">
        <v>1266</v>
      </c>
      <c r="E116" s="46">
        <v>46125</v>
      </c>
      <c r="F116" s="26" t="s">
        <v>6222</v>
      </c>
      <c r="G116" s="26" t="s">
        <v>6224</v>
      </c>
      <c r="H116" s="26" t="s">
        <v>6223</v>
      </c>
      <c r="I116" s="26" t="s">
        <v>6225</v>
      </c>
      <c r="J116" s="26" t="s">
        <v>6224</v>
      </c>
      <c r="K116" s="27"/>
      <c r="L116" s="28" t="s">
        <v>6223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1489</v>
      </c>
      <c r="C117" s="25" t="s">
        <v>1490</v>
      </c>
      <c r="D117" s="23" t="s">
        <v>1266</v>
      </c>
      <c r="E117" s="46">
        <v>46125</v>
      </c>
      <c r="F117" s="26" t="s">
        <v>6222</v>
      </c>
      <c r="G117" s="26" t="s">
        <v>6224</v>
      </c>
      <c r="H117" s="26" t="s">
        <v>6223</v>
      </c>
      <c r="I117" s="26" t="s">
        <v>6225</v>
      </c>
      <c r="J117" s="26" t="s">
        <v>6224</v>
      </c>
      <c r="K117" s="27"/>
      <c r="L117" s="28" t="s">
        <v>6223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1491</v>
      </c>
      <c r="C118" s="44" t="s">
        <v>1492</v>
      </c>
      <c r="D118" s="42" t="s">
        <v>1266</v>
      </c>
      <c r="E118" s="46">
        <v>46125</v>
      </c>
      <c r="F118" s="26" t="s">
        <v>6222</v>
      </c>
      <c r="G118" s="26" t="s">
        <v>6224</v>
      </c>
      <c r="H118" s="26" t="s">
        <v>6223</v>
      </c>
      <c r="I118" s="26" t="s">
        <v>6225</v>
      </c>
      <c r="J118" s="26" t="s">
        <v>6224</v>
      </c>
      <c r="K118" s="27"/>
      <c r="L118" s="28" t="s">
        <v>6223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1493</v>
      </c>
      <c r="C119" s="25" t="s">
        <v>1494</v>
      </c>
      <c r="D119" s="23" t="s">
        <v>1266</v>
      </c>
      <c r="E119" s="46">
        <v>46125</v>
      </c>
      <c r="F119" s="26" t="s">
        <v>6222</v>
      </c>
      <c r="G119" s="26" t="s">
        <v>6224</v>
      </c>
      <c r="H119" s="26" t="s">
        <v>6223</v>
      </c>
      <c r="I119" s="26" t="s">
        <v>6225</v>
      </c>
      <c r="J119" s="26" t="s">
        <v>6224</v>
      </c>
      <c r="K119" s="27"/>
      <c r="L119" s="28" t="s">
        <v>6223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1495</v>
      </c>
      <c r="C120" s="44" t="s">
        <v>1496</v>
      </c>
      <c r="D120" s="42" t="s">
        <v>1266</v>
      </c>
      <c r="E120" s="46">
        <v>46125</v>
      </c>
      <c r="F120" s="26" t="s">
        <v>6222</v>
      </c>
      <c r="G120" s="26" t="s">
        <v>6224</v>
      </c>
      <c r="H120" s="26" t="s">
        <v>6223</v>
      </c>
      <c r="I120" s="26" t="s">
        <v>6225</v>
      </c>
      <c r="J120" s="26" t="s">
        <v>6224</v>
      </c>
      <c r="K120" s="27"/>
      <c r="L120" s="28" t="s">
        <v>6223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1497</v>
      </c>
      <c r="C121" s="25" t="s">
        <v>1498</v>
      </c>
      <c r="D121" s="23" t="s">
        <v>1266</v>
      </c>
      <c r="E121" s="46">
        <v>46125</v>
      </c>
      <c r="F121" s="26" t="s">
        <v>6222</v>
      </c>
      <c r="G121" s="26" t="s">
        <v>6224</v>
      </c>
      <c r="H121" s="26" t="s">
        <v>6223</v>
      </c>
      <c r="I121" s="26" t="s">
        <v>6225</v>
      </c>
      <c r="J121" s="26" t="s">
        <v>6224</v>
      </c>
      <c r="K121" s="27"/>
      <c r="L121" s="28" t="s">
        <v>6223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1499</v>
      </c>
      <c r="C122" s="44" t="s">
        <v>1500</v>
      </c>
      <c r="D122" s="42" t="s">
        <v>1266</v>
      </c>
      <c r="E122" s="46">
        <v>46125</v>
      </c>
      <c r="F122" s="26" t="s">
        <v>6222</v>
      </c>
      <c r="G122" s="26" t="s">
        <v>6224</v>
      </c>
      <c r="H122" s="26" t="s">
        <v>6223</v>
      </c>
      <c r="I122" s="26" t="s">
        <v>6225</v>
      </c>
      <c r="J122" s="26" t="s">
        <v>6224</v>
      </c>
      <c r="K122" s="27"/>
      <c r="L122" s="28" t="s">
        <v>6223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1501</v>
      </c>
      <c r="C123" s="25" t="s">
        <v>1502</v>
      </c>
      <c r="D123" s="23" t="s">
        <v>1266</v>
      </c>
      <c r="E123" s="46">
        <v>46125</v>
      </c>
      <c r="F123" s="26" t="s">
        <v>6222</v>
      </c>
      <c r="G123" s="26" t="s">
        <v>6224</v>
      </c>
      <c r="H123" s="26" t="s">
        <v>6223</v>
      </c>
      <c r="I123" s="26" t="s">
        <v>6225</v>
      </c>
      <c r="J123" s="26" t="s">
        <v>6224</v>
      </c>
      <c r="K123" s="27"/>
      <c r="L123" s="28" t="s">
        <v>6223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1503</v>
      </c>
      <c r="C124" s="44" t="s">
        <v>1504</v>
      </c>
      <c r="D124" s="42" t="s">
        <v>1266</v>
      </c>
      <c r="E124" s="46">
        <v>46125</v>
      </c>
      <c r="F124" s="26" t="s">
        <v>6222</v>
      </c>
      <c r="G124" s="26" t="s">
        <v>6224</v>
      </c>
      <c r="H124" s="26" t="s">
        <v>6223</v>
      </c>
      <c r="I124" s="26" t="s">
        <v>6225</v>
      </c>
      <c r="J124" s="26" t="s">
        <v>6224</v>
      </c>
      <c r="K124" s="27"/>
      <c r="L124" s="28" t="s">
        <v>6223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1505</v>
      </c>
      <c r="C125" s="25" t="s">
        <v>1506</v>
      </c>
      <c r="D125" s="23" t="s">
        <v>1266</v>
      </c>
      <c r="E125" s="46">
        <v>46125</v>
      </c>
      <c r="F125" s="26" t="s">
        <v>6222</v>
      </c>
      <c r="G125" s="26" t="s">
        <v>6224</v>
      </c>
      <c r="H125" s="26" t="s">
        <v>6223</v>
      </c>
      <c r="I125" s="26" t="s">
        <v>6225</v>
      </c>
      <c r="J125" s="26" t="s">
        <v>6224</v>
      </c>
      <c r="K125" s="27"/>
      <c r="L125" s="28" t="s">
        <v>6223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1507</v>
      </c>
      <c r="C126" s="44" t="s">
        <v>1508</v>
      </c>
      <c r="D126" s="42" t="s">
        <v>1266</v>
      </c>
      <c r="E126" s="46">
        <v>46125</v>
      </c>
      <c r="F126" s="26" t="s">
        <v>6222</v>
      </c>
      <c r="G126" s="26" t="s">
        <v>6224</v>
      </c>
      <c r="H126" s="26" t="s">
        <v>6223</v>
      </c>
      <c r="I126" s="26" t="s">
        <v>6225</v>
      </c>
      <c r="J126" s="26" t="s">
        <v>6224</v>
      </c>
      <c r="K126" s="27"/>
      <c r="L126" s="28" t="s">
        <v>6223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1509</v>
      </c>
      <c r="C127" s="25" t="s">
        <v>1510</v>
      </c>
      <c r="D127" s="23" t="s">
        <v>1266</v>
      </c>
      <c r="E127" s="46">
        <v>46125</v>
      </c>
      <c r="F127" s="26" t="s">
        <v>6222</v>
      </c>
      <c r="G127" s="26" t="s">
        <v>6224</v>
      </c>
      <c r="H127" s="26" t="s">
        <v>6223</v>
      </c>
      <c r="I127" s="26" t="s">
        <v>6225</v>
      </c>
      <c r="J127" s="26" t="s">
        <v>6224</v>
      </c>
      <c r="K127" s="27"/>
      <c r="L127" s="28" t="s">
        <v>6223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1511</v>
      </c>
      <c r="C128" s="44" t="s">
        <v>1512</v>
      </c>
      <c r="D128" s="42" t="s">
        <v>1266</v>
      </c>
      <c r="E128" s="46">
        <v>46125</v>
      </c>
      <c r="F128" s="26" t="s">
        <v>6222</v>
      </c>
      <c r="G128" s="26" t="s">
        <v>6224</v>
      </c>
      <c r="H128" s="26" t="s">
        <v>6223</v>
      </c>
      <c r="I128" s="26" t="s">
        <v>6225</v>
      </c>
      <c r="J128" s="26" t="s">
        <v>6224</v>
      </c>
      <c r="K128" s="27"/>
      <c r="L128" s="28" t="s">
        <v>6223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1513</v>
      </c>
      <c r="C129" s="25" t="s">
        <v>1514</v>
      </c>
      <c r="D129" s="23" t="s">
        <v>1266</v>
      </c>
      <c r="E129" s="46">
        <v>46125</v>
      </c>
      <c r="F129" s="26" t="s">
        <v>6222</v>
      </c>
      <c r="G129" s="26" t="s">
        <v>6224</v>
      </c>
      <c r="H129" s="26" t="s">
        <v>6223</v>
      </c>
      <c r="I129" s="26" t="s">
        <v>6225</v>
      </c>
      <c r="J129" s="26" t="s">
        <v>6224</v>
      </c>
      <c r="K129" s="27"/>
      <c r="L129" s="28" t="s">
        <v>6223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1515</v>
      </c>
      <c r="C130" s="44" t="s">
        <v>1516</v>
      </c>
      <c r="D130" s="42" t="s">
        <v>1266</v>
      </c>
      <c r="E130" s="46">
        <v>46125</v>
      </c>
      <c r="F130" s="26" t="s">
        <v>6222</v>
      </c>
      <c r="G130" s="26" t="s">
        <v>6224</v>
      </c>
      <c r="H130" s="26" t="s">
        <v>6223</v>
      </c>
      <c r="I130" s="26" t="s">
        <v>6225</v>
      </c>
      <c r="J130" s="26" t="s">
        <v>6224</v>
      </c>
      <c r="K130" s="27"/>
      <c r="L130" s="28" t="s">
        <v>6223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1517</v>
      </c>
      <c r="C131" s="25" t="s">
        <v>1518</v>
      </c>
      <c r="D131" s="23" t="s">
        <v>1266</v>
      </c>
      <c r="E131" s="46">
        <v>46125</v>
      </c>
      <c r="F131" s="26" t="s">
        <v>6222</v>
      </c>
      <c r="G131" s="26" t="s">
        <v>6224</v>
      </c>
      <c r="H131" s="26" t="s">
        <v>6223</v>
      </c>
      <c r="I131" s="26" t="s">
        <v>6225</v>
      </c>
      <c r="J131" s="26" t="s">
        <v>6224</v>
      </c>
      <c r="K131" s="27"/>
      <c r="L131" s="28" t="s">
        <v>6223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1519</v>
      </c>
      <c r="C132" s="44" t="s">
        <v>1520</v>
      </c>
      <c r="D132" s="42" t="s">
        <v>1266</v>
      </c>
      <c r="E132" s="46">
        <v>46125</v>
      </c>
      <c r="F132" s="26" t="s">
        <v>6222</v>
      </c>
      <c r="G132" s="26" t="s">
        <v>6224</v>
      </c>
      <c r="H132" s="26" t="s">
        <v>6223</v>
      </c>
      <c r="I132" s="26" t="s">
        <v>6225</v>
      </c>
      <c r="J132" s="26" t="s">
        <v>6224</v>
      </c>
      <c r="K132" s="27"/>
      <c r="L132" s="28" t="s">
        <v>6223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1521</v>
      </c>
      <c r="C133" s="25" t="s">
        <v>1522</v>
      </c>
      <c r="D133" s="23" t="s">
        <v>1266</v>
      </c>
      <c r="E133" s="46">
        <v>46125</v>
      </c>
      <c r="F133" s="26" t="s">
        <v>6222</v>
      </c>
      <c r="G133" s="26" t="s">
        <v>6224</v>
      </c>
      <c r="H133" s="26" t="s">
        <v>6223</v>
      </c>
      <c r="I133" s="26" t="s">
        <v>6225</v>
      </c>
      <c r="J133" s="26" t="s">
        <v>6224</v>
      </c>
      <c r="K133" s="27"/>
      <c r="L133" s="28" t="s">
        <v>6223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1523</v>
      </c>
      <c r="C134" s="44" t="s">
        <v>1524</v>
      </c>
      <c r="D134" s="42" t="s">
        <v>1266</v>
      </c>
      <c r="E134" s="46">
        <v>46125</v>
      </c>
      <c r="F134" s="26" t="s">
        <v>6222</v>
      </c>
      <c r="G134" s="26" t="s">
        <v>6224</v>
      </c>
      <c r="H134" s="26" t="s">
        <v>6223</v>
      </c>
      <c r="I134" s="26" t="s">
        <v>6225</v>
      </c>
      <c r="J134" s="26" t="s">
        <v>6224</v>
      </c>
      <c r="K134" s="27"/>
      <c r="L134" s="28" t="s">
        <v>6223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1525</v>
      </c>
      <c r="C135" s="25" t="s">
        <v>1526</v>
      </c>
      <c r="D135" s="23" t="s">
        <v>1266</v>
      </c>
      <c r="E135" s="46">
        <v>46125</v>
      </c>
      <c r="F135" s="26" t="s">
        <v>6222</v>
      </c>
      <c r="G135" s="26" t="s">
        <v>6224</v>
      </c>
      <c r="H135" s="26" t="s">
        <v>6223</v>
      </c>
      <c r="I135" s="26" t="s">
        <v>6225</v>
      </c>
      <c r="J135" s="26" t="s">
        <v>6224</v>
      </c>
      <c r="K135" s="27"/>
      <c r="L135" s="28" t="s">
        <v>6223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1527</v>
      </c>
      <c r="C136" s="44" t="s">
        <v>1528</v>
      </c>
      <c r="D136" s="42" t="s">
        <v>1266</v>
      </c>
      <c r="E136" s="46">
        <v>46125</v>
      </c>
      <c r="F136" s="26" t="s">
        <v>6222</v>
      </c>
      <c r="G136" s="26" t="s">
        <v>6224</v>
      </c>
      <c r="H136" s="26" t="s">
        <v>6223</v>
      </c>
      <c r="I136" s="26" t="s">
        <v>6225</v>
      </c>
      <c r="J136" s="26" t="s">
        <v>6224</v>
      </c>
      <c r="K136" s="27"/>
      <c r="L136" s="28" t="s">
        <v>6223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1529</v>
      </c>
      <c r="C137" s="25" t="s">
        <v>1530</v>
      </c>
      <c r="D137" s="23" t="s">
        <v>1266</v>
      </c>
      <c r="E137" s="46">
        <v>46125</v>
      </c>
      <c r="F137" s="26" t="s">
        <v>6222</v>
      </c>
      <c r="G137" s="26" t="s">
        <v>6224</v>
      </c>
      <c r="H137" s="26" t="s">
        <v>6223</v>
      </c>
      <c r="I137" s="26" t="s">
        <v>6225</v>
      </c>
      <c r="J137" s="26" t="s">
        <v>6224</v>
      </c>
      <c r="K137" s="27"/>
      <c r="L137" s="28" t="s">
        <v>6223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1531</v>
      </c>
      <c r="C138" s="44" t="s">
        <v>1532</v>
      </c>
      <c r="D138" s="42" t="s">
        <v>1266</v>
      </c>
      <c r="E138" s="46">
        <v>46125</v>
      </c>
      <c r="F138" s="26" t="s">
        <v>6222</v>
      </c>
      <c r="G138" s="26" t="s">
        <v>6224</v>
      </c>
      <c r="H138" s="26" t="s">
        <v>6223</v>
      </c>
      <c r="I138" s="26" t="s">
        <v>6225</v>
      </c>
      <c r="J138" s="26" t="s">
        <v>6224</v>
      </c>
      <c r="K138" s="27"/>
      <c r="L138" s="28" t="s">
        <v>6223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1533</v>
      </c>
      <c r="C139" s="25" t="s">
        <v>1534</v>
      </c>
      <c r="D139" s="23" t="s">
        <v>1266</v>
      </c>
      <c r="E139" s="46">
        <v>46125</v>
      </c>
      <c r="F139" s="26" t="s">
        <v>6222</v>
      </c>
      <c r="G139" s="26" t="s">
        <v>6224</v>
      </c>
      <c r="H139" s="26" t="s">
        <v>6223</v>
      </c>
      <c r="I139" s="26" t="s">
        <v>6225</v>
      </c>
      <c r="J139" s="26" t="s">
        <v>6224</v>
      </c>
      <c r="K139" s="27"/>
      <c r="L139" s="28" t="s">
        <v>6223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1535</v>
      </c>
      <c r="C140" s="44" t="s">
        <v>1536</v>
      </c>
      <c r="D140" s="42" t="s">
        <v>1266</v>
      </c>
      <c r="E140" s="46">
        <v>46125</v>
      </c>
      <c r="F140" s="26" t="s">
        <v>6222</v>
      </c>
      <c r="G140" s="26" t="s">
        <v>6224</v>
      </c>
      <c r="H140" s="26" t="s">
        <v>6223</v>
      </c>
      <c r="I140" s="26" t="s">
        <v>6225</v>
      </c>
      <c r="J140" s="26" t="s">
        <v>6224</v>
      </c>
      <c r="K140" s="27"/>
      <c r="L140" s="28" t="s">
        <v>6223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1537</v>
      </c>
      <c r="C141" s="25" t="s">
        <v>1538</v>
      </c>
      <c r="D141" s="23" t="s">
        <v>1266</v>
      </c>
      <c r="E141" s="46">
        <v>46125</v>
      </c>
      <c r="F141" s="26" t="s">
        <v>6222</v>
      </c>
      <c r="G141" s="26" t="s">
        <v>6224</v>
      </c>
      <c r="H141" s="26" t="s">
        <v>6223</v>
      </c>
      <c r="I141" s="26" t="s">
        <v>6225</v>
      </c>
      <c r="J141" s="26" t="s">
        <v>6224</v>
      </c>
      <c r="K141" s="27"/>
      <c r="L141" s="28" t="s">
        <v>6223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1539</v>
      </c>
      <c r="C142" s="44" t="s">
        <v>1540</v>
      </c>
      <c r="D142" s="42" t="s">
        <v>1266</v>
      </c>
      <c r="E142" s="46">
        <v>46125</v>
      </c>
      <c r="F142" s="26" t="s">
        <v>6222</v>
      </c>
      <c r="G142" s="26" t="s">
        <v>6224</v>
      </c>
      <c r="H142" s="26" t="s">
        <v>6223</v>
      </c>
      <c r="I142" s="26" t="s">
        <v>6225</v>
      </c>
      <c r="J142" s="26" t="s">
        <v>6224</v>
      </c>
      <c r="K142" s="27"/>
      <c r="L142" s="28" t="s">
        <v>6223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1541</v>
      </c>
      <c r="C143" s="25" t="s">
        <v>1542</v>
      </c>
      <c r="D143" s="23" t="s">
        <v>1266</v>
      </c>
      <c r="E143" s="46">
        <v>46125</v>
      </c>
      <c r="F143" s="26" t="s">
        <v>6222</v>
      </c>
      <c r="G143" s="26" t="s">
        <v>6224</v>
      </c>
      <c r="H143" s="26" t="s">
        <v>6223</v>
      </c>
      <c r="I143" s="26" t="s">
        <v>6225</v>
      </c>
      <c r="J143" s="26" t="s">
        <v>6224</v>
      </c>
      <c r="K143" s="27"/>
      <c r="L143" s="28" t="s">
        <v>6223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1543</v>
      </c>
      <c r="C144" s="44" t="s">
        <v>1544</v>
      </c>
      <c r="D144" s="42" t="s">
        <v>1266</v>
      </c>
      <c r="E144" s="46">
        <v>46125</v>
      </c>
      <c r="F144" s="26" t="s">
        <v>6222</v>
      </c>
      <c r="G144" s="26" t="s">
        <v>6224</v>
      </c>
      <c r="H144" s="26" t="s">
        <v>6223</v>
      </c>
      <c r="I144" s="26" t="s">
        <v>6225</v>
      </c>
      <c r="J144" s="26" t="s">
        <v>6224</v>
      </c>
      <c r="K144" s="27"/>
      <c r="L144" s="28" t="s">
        <v>6223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1545</v>
      </c>
      <c r="C145" s="25" t="s">
        <v>1546</v>
      </c>
      <c r="D145" s="23" t="s">
        <v>1266</v>
      </c>
      <c r="E145" s="46">
        <v>46125</v>
      </c>
      <c r="F145" s="26" t="s">
        <v>6222</v>
      </c>
      <c r="G145" s="26" t="s">
        <v>6224</v>
      </c>
      <c r="H145" s="26" t="s">
        <v>6223</v>
      </c>
      <c r="I145" s="26" t="s">
        <v>6225</v>
      </c>
      <c r="J145" s="26" t="s">
        <v>6224</v>
      </c>
      <c r="K145" s="27"/>
      <c r="L145" s="28" t="s">
        <v>6223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1547</v>
      </c>
      <c r="C146" s="44" t="s">
        <v>1548</v>
      </c>
      <c r="D146" s="42" t="s">
        <v>1266</v>
      </c>
      <c r="E146" s="46">
        <v>46125</v>
      </c>
      <c r="F146" s="26" t="s">
        <v>6222</v>
      </c>
      <c r="G146" s="26" t="s">
        <v>6224</v>
      </c>
      <c r="H146" s="26" t="s">
        <v>6223</v>
      </c>
      <c r="I146" s="26" t="s">
        <v>6225</v>
      </c>
      <c r="J146" s="26" t="s">
        <v>6224</v>
      </c>
      <c r="K146" s="27"/>
      <c r="L146" s="28" t="s">
        <v>6223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1549</v>
      </c>
      <c r="C147" s="25" t="s">
        <v>1550</v>
      </c>
      <c r="D147" s="23" t="s">
        <v>1266</v>
      </c>
      <c r="E147" s="46">
        <v>46125</v>
      </c>
      <c r="F147" s="26" t="s">
        <v>6222</v>
      </c>
      <c r="G147" s="26" t="s">
        <v>6224</v>
      </c>
      <c r="H147" s="26" t="s">
        <v>6223</v>
      </c>
      <c r="I147" s="26" t="s">
        <v>6225</v>
      </c>
      <c r="J147" s="26" t="s">
        <v>6224</v>
      </c>
      <c r="K147" s="27"/>
      <c r="L147" s="28" t="s">
        <v>6223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1551</v>
      </c>
      <c r="C148" s="44" t="s">
        <v>1552</v>
      </c>
      <c r="D148" s="42" t="s">
        <v>1266</v>
      </c>
      <c r="E148" s="46">
        <v>46125</v>
      </c>
      <c r="F148" s="26" t="s">
        <v>6222</v>
      </c>
      <c r="G148" s="26" t="s">
        <v>6224</v>
      </c>
      <c r="H148" s="26" t="s">
        <v>6223</v>
      </c>
      <c r="I148" s="26" t="s">
        <v>6225</v>
      </c>
      <c r="J148" s="26" t="s">
        <v>6224</v>
      </c>
      <c r="K148" s="27"/>
      <c r="L148" s="28" t="s">
        <v>6223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1553</v>
      </c>
      <c r="C149" s="25" t="s">
        <v>1554</v>
      </c>
      <c r="D149" s="23" t="s">
        <v>1266</v>
      </c>
      <c r="E149" s="46">
        <v>46125</v>
      </c>
      <c r="F149" s="26" t="s">
        <v>6222</v>
      </c>
      <c r="G149" s="26" t="s">
        <v>6224</v>
      </c>
      <c r="H149" s="26" t="s">
        <v>6223</v>
      </c>
      <c r="I149" s="26" t="s">
        <v>6225</v>
      </c>
      <c r="J149" s="26" t="s">
        <v>6224</v>
      </c>
      <c r="K149" s="27"/>
      <c r="L149" s="28" t="s">
        <v>6223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1555</v>
      </c>
      <c r="C150" s="44" t="s">
        <v>1556</v>
      </c>
      <c r="D150" s="42" t="s">
        <v>1266</v>
      </c>
      <c r="E150" s="46">
        <v>46125</v>
      </c>
      <c r="F150" s="26" t="s">
        <v>6222</v>
      </c>
      <c r="G150" s="26" t="s">
        <v>6224</v>
      </c>
      <c r="H150" s="26" t="s">
        <v>6223</v>
      </c>
      <c r="I150" s="26" t="s">
        <v>6225</v>
      </c>
      <c r="J150" s="26" t="s">
        <v>6224</v>
      </c>
      <c r="K150" s="27"/>
      <c r="L150" s="28" t="s">
        <v>6223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1557</v>
      </c>
      <c r="C151" s="25" t="s">
        <v>1558</v>
      </c>
      <c r="D151" s="23" t="s">
        <v>1266</v>
      </c>
      <c r="E151" s="46">
        <v>46125</v>
      </c>
      <c r="F151" s="26" t="s">
        <v>6222</v>
      </c>
      <c r="G151" s="26" t="s">
        <v>6224</v>
      </c>
      <c r="H151" s="26" t="s">
        <v>6223</v>
      </c>
      <c r="I151" s="26" t="s">
        <v>6225</v>
      </c>
      <c r="J151" s="26" t="s">
        <v>6224</v>
      </c>
      <c r="K151" s="27"/>
      <c r="L151" s="28" t="s">
        <v>6223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1559</v>
      </c>
      <c r="C152" s="44" t="s">
        <v>1560</v>
      </c>
      <c r="D152" s="42" t="s">
        <v>1266</v>
      </c>
      <c r="E152" s="46">
        <v>46125</v>
      </c>
      <c r="F152" s="26" t="s">
        <v>6222</v>
      </c>
      <c r="G152" s="26" t="s">
        <v>6224</v>
      </c>
      <c r="H152" s="26" t="s">
        <v>6223</v>
      </c>
      <c r="I152" s="26" t="s">
        <v>6225</v>
      </c>
      <c r="J152" s="26" t="s">
        <v>6224</v>
      </c>
      <c r="K152" s="27"/>
      <c r="L152" s="28" t="s">
        <v>6223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1561</v>
      </c>
      <c r="C153" s="25" t="s">
        <v>1562</v>
      </c>
      <c r="D153" s="23" t="s">
        <v>1266</v>
      </c>
      <c r="E153" s="46">
        <v>46125</v>
      </c>
      <c r="F153" s="26" t="s">
        <v>6222</v>
      </c>
      <c r="G153" s="26" t="s">
        <v>6224</v>
      </c>
      <c r="H153" s="26" t="s">
        <v>6223</v>
      </c>
      <c r="I153" s="26" t="s">
        <v>6225</v>
      </c>
      <c r="J153" s="26" t="s">
        <v>6224</v>
      </c>
      <c r="K153" s="27"/>
      <c r="L153" s="28" t="s">
        <v>6223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1563</v>
      </c>
      <c r="C154" s="44" t="s">
        <v>1564</v>
      </c>
      <c r="D154" s="42" t="s">
        <v>1266</v>
      </c>
      <c r="E154" s="46">
        <v>46125</v>
      </c>
      <c r="F154" s="26" t="s">
        <v>6222</v>
      </c>
      <c r="G154" s="26" t="s">
        <v>6224</v>
      </c>
      <c r="H154" s="26" t="s">
        <v>6223</v>
      </c>
      <c r="I154" s="26" t="s">
        <v>6225</v>
      </c>
      <c r="J154" s="26" t="s">
        <v>6224</v>
      </c>
      <c r="K154" s="27"/>
      <c r="L154" s="28" t="s">
        <v>6223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1565</v>
      </c>
      <c r="C155" s="25" t="s">
        <v>1566</v>
      </c>
      <c r="D155" s="23" t="s">
        <v>1266</v>
      </c>
      <c r="E155" s="46">
        <v>46125</v>
      </c>
      <c r="F155" s="26" t="s">
        <v>6222</v>
      </c>
      <c r="G155" s="26" t="s">
        <v>6224</v>
      </c>
      <c r="H155" s="26" t="s">
        <v>6223</v>
      </c>
      <c r="I155" s="26" t="s">
        <v>6225</v>
      </c>
      <c r="J155" s="26" t="s">
        <v>6224</v>
      </c>
      <c r="K155" s="27"/>
      <c r="L155" s="28" t="s">
        <v>6223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1567</v>
      </c>
      <c r="C156" s="44" t="s">
        <v>1568</v>
      </c>
      <c r="D156" s="42" t="s">
        <v>1266</v>
      </c>
      <c r="E156" s="46">
        <v>46125</v>
      </c>
      <c r="F156" s="26" t="s">
        <v>6222</v>
      </c>
      <c r="G156" s="26" t="s">
        <v>6224</v>
      </c>
      <c r="H156" s="26" t="s">
        <v>6223</v>
      </c>
      <c r="I156" s="26" t="s">
        <v>6225</v>
      </c>
      <c r="J156" s="26" t="s">
        <v>6224</v>
      </c>
      <c r="K156" s="27"/>
      <c r="L156" s="28" t="s">
        <v>6223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1569</v>
      </c>
      <c r="C157" s="25" t="s">
        <v>1570</v>
      </c>
      <c r="D157" s="23" t="s">
        <v>1266</v>
      </c>
      <c r="E157" s="46">
        <v>46125</v>
      </c>
      <c r="F157" s="26" t="s">
        <v>6222</v>
      </c>
      <c r="G157" s="26" t="s">
        <v>6224</v>
      </c>
      <c r="H157" s="26" t="s">
        <v>6223</v>
      </c>
      <c r="I157" s="26" t="s">
        <v>6225</v>
      </c>
      <c r="J157" s="26" t="s">
        <v>6224</v>
      </c>
      <c r="K157" s="27"/>
      <c r="L157" s="28" t="s">
        <v>6223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1571</v>
      </c>
      <c r="C158" s="44" t="s">
        <v>1572</v>
      </c>
      <c r="D158" s="42" t="s">
        <v>1266</v>
      </c>
      <c r="E158" s="46">
        <v>46125</v>
      </c>
      <c r="F158" s="26" t="s">
        <v>6222</v>
      </c>
      <c r="G158" s="26" t="s">
        <v>6224</v>
      </c>
      <c r="H158" s="26" t="s">
        <v>6223</v>
      </c>
      <c r="I158" s="26" t="s">
        <v>6225</v>
      </c>
      <c r="J158" s="26" t="s">
        <v>6224</v>
      </c>
      <c r="K158" s="27"/>
      <c r="L158" s="28" t="s">
        <v>6223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1573</v>
      </c>
      <c r="C159" s="25" t="s">
        <v>1574</v>
      </c>
      <c r="D159" s="23" t="s">
        <v>1266</v>
      </c>
      <c r="E159" s="46">
        <v>46125</v>
      </c>
      <c r="F159" s="26" t="s">
        <v>6222</v>
      </c>
      <c r="G159" s="26" t="s">
        <v>6224</v>
      </c>
      <c r="H159" s="26" t="s">
        <v>6223</v>
      </c>
      <c r="I159" s="26" t="s">
        <v>6225</v>
      </c>
      <c r="J159" s="26" t="s">
        <v>6224</v>
      </c>
      <c r="K159" s="27"/>
      <c r="L159" s="28" t="s">
        <v>6223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1575</v>
      </c>
      <c r="C160" s="44" t="s">
        <v>1576</v>
      </c>
      <c r="D160" s="42" t="s">
        <v>1266</v>
      </c>
      <c r="E160" s="46">
        <v>46125</v>
      </c>
      <c r="F160" s="26" t="s">
        <v>6222</v>
      </c>
      <c r="G160" s="26" t="s">
        <v>6224</v>
      </c>
      <c r="H160" s="26" t="s">
        <v>6223</v>
      </c>
      <c r="I160" s="26" t="s">
        <v>6225</v>
      </c>
      <c r="J160" s="26" t="s">
        <v>6224</v>
      </c>
      <c r="K160" s="27"/>
      <c r="L160" s="28" t="s">
        <v>6223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1577</v>
      </c>
      <c r="C161" s="25" t="s">
        <v>1578</v>
      </c>
      <c r="D161" s="23" t="s">
        <v>1266</v>
      </c>
      <c r="E161" s="46">
        <v>46125</v>
      </c>
      <c r="F161" s="26" t="s">
        <v>6222</v>
      </c>
      <c r="G161" s="26" t="s">
        <v>6224</v>
      </c>
      <c r="H161" s="26" t="s">
        <v>6223</v>
      </c>
      <c r="I161" s="26" t="s">
        <v>6225</v>
      </c>
      <c r="J161" s="26" t="s">
        <v>6224</v>
      </c>
      <c r="K161" s="27"/>
      <c r="L161" s="28" t="s">
        <v>6223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1579</v>
      </c>
      <c r="C162" s="44" t="s">
        <v>1580</v>
      </c>
      <c r="D162" s="42" t="s">
        <v>1266</v>
      </c>
      <c r="E162" s="46">
        <v>46125</v>
      </c>
      <c r="F162" s="26" t="s">
        <v>6222</v>
      </c>
      <c r="G162" s="26" t="s">
        <v>6224</v>
      </c>
      <c r="H162" s="26" t="s">
        <v>6223</v>
      </c>
      <c r="I162" s="26" t="s">
        <v>6225</v>
      </c>
      <c r="J162" s="26" t="s">
        <v>6224</v>
      </c>
      <c r="K162" s="27"/>
      <c r="L162" s="28" t="s">
        <v>6223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1581</v>
      </c>
      <c r="C163" s="25" t="s">
        <v>1582</v>
      </c>
      <c r="D163" s="23" t="s">
        <v>1266</v>
      </c>
      <c r="E163" s="46">
        <v>46125</v>
      </c>
      <c r="F163" s="26" t="s">
        <v>6222</v>
      </c>
      <c r="G163" s="26" t="s">
        <v>6224</v>
      </c>
      <c r="H163" s="26" t="s">
        <v>6223</v>
      </c>
      <c r="I163" s="26" t="s">
        <v>6225</v>
      </c>
      <c r="J163" s="26" t="s">
        <v>6224</v>
      </c>
      <c r="K163" s="27"/>
      <c r="L163" s="28" t="s">
        <v>6223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1583</v>
      </c>
      <c r="C164" s="44" t="s">
        <v>1584</v>
      </c>
      <c r="D164" s="42" t="s">
        <v>1266</v>
      </c>
      <c r="E164" s="46">
        <v>46125</v>
      </c>
      <c r="F164" s="26" t="s">
        <v>6222</v>
      </c>
      <c r="G164" s="26" t="s">
        <v>6224</v>
      </c>
      <c r="H164" s="26" t="s">
        <v>6223</v>
      </c>
      <c r="I164" s="26" t="s">
        <v>6225</v>
      </c>
      <c r="J164" s="26" t="s">
        <v>6224</v>
      </c>
      <c r="K164" s="27"/>
      <c r="L164" s="28" t="s">
        <v>6223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1585</v>
      </c>
      <c r="C165" s="25" t="s">
        <v>1586</v>
      </c>
      <c r="D165" s="23" t="s">
        <v>1266</v>
      </c>
      <c r="E165" s="46">
        <v>46125</v>
      </c>
      <c r="F165" s="26" t="s">
        <v>6222</v>
      </c>
      <c r="G165" s="26" t="s">
        <v>6224</v>
      </c>
      <c r="H165" s="26" t="s">
        <v>6223</v>
      </c>
      <c r="I165" s="26" t="s">
        <v>6225</v>
      </c>
      <c r="J165" s="26" t="s">
        <v>6224</v>
      </c>
      <c r="K165" s="27"/>
      <c r="L165" s="28" t="s">
        <v>6223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1587</v>
      </c>
      <c r="C166" s="44" t="s">
        <v>1588</v>
      </c>
      <c r="D166" s="42" t="s">
        <v>1266</v>
      </c>
      <c r="E166" s="46">
        <v>46125</v>
      </c>
      <c r="F166" s="26" t="s">
        <v>6222</v>
      </c>
      <c r="G166" s="26" t="s">
        <v>6224</v>
      </c>
      <c r="H166" s="26" t="s">
        <v>6223</v>
      </c>
      <c r="I166" s="26" t="s">
        <v>6225</v>
      </c>
      <c r="J166" s="26" t="s">
        <v>6224</v>
      </c>
      <c r="K166" s="27"/>
      <c r="L166" s="28" t="s">
        <v>6223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1589</v>
      </c>
      <c r="C167" s="25" t="s">
        <v>1590</v>
      </c>
      <c r="D167" s="23" t="s">
        <v>1266</v>
      </c>
      <c r="E167" s="46">
        <v>46125</v>
      </c>
      <c r="F167" s="26" t="s">
        <v>6222</v>
      </c>
      <c r="G167" s="26" t="s">
        <v>6224</v>
      </c>
      <c r="H167" s="26" t="s">
        <v>6223</v>
      </c>
      <c r="I167" s="26" t="s">
        <v>6225</v>
      </c>
      <c r="J167" s="26" t="s">
        <v>6224</v>
      </c>
      <c r="K167" s="27"/>
      <c r="L167" s="28" t="s">
        <v>6223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1591</v>
      </c>
      <c r="C168" s="44" t="s">
        <v>1592</v>
      </c>
      <c r="D168" s="42" t="s">
        <v>1266</v>
      </c>
      <c r="E168" s="46">
        <v>46125</v>
      </c>
      <c r="F168" s="26" t="s">
        <v>6222</v>
      </c>
      <c r="G168" s="26" t="s">
        <v>6224</v>
      </c>
      <c r="H168" s="26" t="s">
        <v>6223</v>
      </c>
      <c r="I168" s="26" t="s">
        <v>6225</v>
      </c>
      <c r="J168" s="26" t="s">
        <v>6224</v>
      </c>
      <c r="K168" s="27"/>
      <c r="L168" s="28" t="s">
        <v>6223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1593</v>
      </c>
      <c r="C169" s="25" t="s">
        <v>1594</v>
      </c>
      <c r="D169" s="23" t="s">
        <v>1266</v>
      </c>
      <c r="E169" s="46">
        <v>46125</v>
      </c>
      <c r="F169" s="26" t="s">
        <v>6222</v>
      </c>
      <c r="G169" s="26" t="s">
        <v>6224</v>
      </c>
      <c r="H169" s="26" t="s">
        <v>6223</v>
      </c>
      <c r="I169" s="26" t="s">
        <v>6225</v>
      </c>
      <c r="J169" s="26" t="s">
        <v>6224</v>
      </c>
      <c r="K169" s="27"/>
      <c r="L169" s="28" t="s">
        <v>6223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1595</v>
      </c>
      <c r="C170" s="44" t="s">
        <v>1596</v>
      </c>
      <c r="D170" s="42" t="s">
        <v>1266</v>
      </c>
      <c r="E170" s="46">
        <v>46125</v>
      </c>
      <c r="F170" s="26" t="s">
        <v>6222</v>
      </c>
      <c r="G170" s="26" t="s">
        <v>6224</v>
      </c>
      <c r="H170" s="26" t="s">
        <v>6223</v>
      </c>
      <c r="I170" s="26" t="s">
        <v>6225</v>
      </c>
      <c r="J170" s="26" t="s">
        <v>6224</v>
      </c>
      <c r="K170" s="27"/>
      <c r="L170" s="28" t="s">
        <v>6223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1597</v>
      </c>
      <c r="C171" s="25" t="s">
        <v>1598</v>
      </c>
      <c r="D171" s="23" t="s">
        <v>1266</v>
      </c>
      <c r="E171" s="46">
        <v>46125</v>
      </c>
      <c r="F171" s="26" t="s">
        <v>6222</v>
      </c>
      <c r="G171" s="26" t="s">
        <v>6224</v>
      </c>
      <c r="H171" s="26" t="s">
        <v>6223</v>
      </c>
      <c r="I171" s="26" t="s">
        <v>6225</v>
      </c>
      <c r="J171" s="26" t="s">
        <v>6224</v>
      </c>
      <c r="K171" s="27"/>
      <c r="L171" s="28" t="s">
        <v>6223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1599</v>
      </c>
      <c r="C172" s="44" t="s">
        <v>1600</v>
      </c>
      <c r="D172" s="42" t="s">
        <v>1266</v>
      </c>
      <c r="E172" s="46">
        <v>46125</v>
      </c>
      <c r="F172" s="26" t="s">
        <v>6222</v>
      </c>
      <c r="G172" s="26" t="s">
        <v>6224</v>
      </c>
      <c r="H172" s="26" t="s">
        <v>6223</v>
      </c>
      <c r="I172" s="26" t="s">
        <v>6225</v>
      </c>
      <c r="J172" s="26" t="s">
        <v>6224</v>
      </c>
      <c r="K172" s="27"/>
      <c r="L172" s="28" t="s">
        <v>6223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1601</v>
      </c>
      <c r="C173" s="25" t="s">
        <v>1602</v>
      </c>
      <c r="D173" s="23" t="s">
        <v>1266</v>
      </c>
      <c r="E173" s="46">
        <v>46125</v>
      </c>
      <c r="F173" s="26" t="s">
        <v>6222</v>
      </c>
      <c r="G173" s="26" t="s">
        <v>6224</v>
      </c>
      <c r="H173" s="26" t="s">
        <v>6223</v>
      </c>
      <c r="I173" s="26" t="s">
        <v>6225</v>
      </c>
      <c r="J173" s="26" t="s">
        <v>6224</v>
      </c>
      <c r="K173" s="27"/>
      <c r="L173" s="28" t="s">
        <v>6223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1603</v>
      </c>
      <c r="C174" s="44" t="s">
        <v>1604</v>
      </c>
      <c r="D174" s="42" t="s">
        <v>1266</v>
      </c>
      <c r="E174" s="46">
        <v>46125</v>
      </c>
      <c r="F174" s="26" t="s">
        <v>6222</v>
      </c>
      <c r="G174" s="26" t="s">
        <v>6224</v>
      </c>
      <c r="H174" s="26" t="s">
        <v>6223</v>
      </c>
      <c r="I174" s="26" t="s">
        <v>6225</v>
      </c>
      <c r="J174" s="26" t="s">
        <v>6224</v>
      </c>
      <c r="K174" s="27"/>
      <c r="L174" s="28" t="s">
        <v>6223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1605</v>
      </c>
      <c r="C175" s="25" t="s">
        <v>1606</v>
      </c>
      <c r="D175" s="23" t="s">
        <v>1266</v>
      </c>
      <c r="E175" s="46">
        <v>46125</v>
      </c>
      <c r="F175" s="26" t="s">
        <v>6222</v>
      </c>
      <c r="G175" s="26" t="s">
        <v>6224</v>
      </c>
      <c r="H175" s="26" t="s">
        <v>6223</v>
      </c>
      <c r="I175" s="26" t="s">
        <v>6225</v>
      </c>
      <c r="J175" s="26" t="s">
        <v>6224</v>
      </c>
      <c r="K175" s="27"/>
      <c r="L175" s="28" t="s">
        <v>6223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1607</v>
      </c>
      <c r="C176" s="44" t="s">
        <v>1608</v>
      </c>
      <c r="D176" s="42" t="s">
        <v>1266</v>
      </c>
      <c r="E176" s="46">
        <v>46125</v>
      </c>
      <c r="F176" s="26" t="s">
        <v>6222</v>
      </c>
      <c r="G176" s="26" t="s">
        <v>6224</v>
      </c>
      <c r="H176" s="26" t="s">
        <v>6223</v>
      </c>
      <c r="I176" s="26" t="s">
        <v>6225</v>
      </c>
      <c r="J176" s="26" t="s">
        <v>6224</v>
      </c>
      <c r="K176" s="27"/>
      <c r="L176" s="28" t="s">
        <v>6223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1609</v>
      </c>
      <c r="C177" s="25" t="s">
        <v>1610</v>
      </c>
      <c r="D177" s="23" t="s">
        <v>1266</v>
      </c>
      <c r="E177" s="46">
        <v>46125</v>
      </c>
      <c r="F177" s="26" t="s">
        <v>6222</v>
      </c>
      <c r="G177" s="26" t="s">
        <v>6224</v>
      </c>
      <c r="H177" s="26" t="s">
        <v>6223</v>
      </c>
      <c r="I177" s="26" t="s">
        <v>6225</v>
      </c>
      <c r="J177" s="26" t="s">
        <v>6224</v>
      </c>
      <c r="K177" s="27"/>
      <c r="L177" s="28" t="s">
        <v>6223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1611</v>
      </c>
      <c r="C178" s="44" t="s">
        <v>1612</v>
      </c>
      <c r="D178" s="42" t="s">
        <v>1266</v>
      </c>
      <c r="E178" s="46">
        <v>46125</v>
      </c>
      <c r="F178" s="26" t="s">
        <v>6222</v>
      </c>
      <c r="G178" s="26" t="s">
        <v>6224</v>
      </c>
      <c r="H178" s="26" t="s">
        <v>6223</v>
      </c>
      <c r="I178" s="26" t="s">
        <v>6225</v>
      </c>
      <c r="J178" s="26" t="s">
        <v>6224</v>
      </c>
      <c r="K178" s="27"/>
      <c r="L178" s="28" t="s">
        <v>6223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1613</v>
      </c>
      <c r="C179" s="25" t="s">
        <v>1614</v>
      </c>
      <c r="D179" s="23" t="s">
        <v>1266</v>
      </c>
      <c r="E179" s="46">
        <v>46125</v>
      </c>
      <c r="F179" s="26" t="s">
        <v>6222</v>
      </c>
      <c r="G179" s="26" t="s">
        <v>6224</v>
      </c>
      <c r="H179" s="26" t="s">
        <v>6223</v>
      </c>
      <c r="I179" s="26" t="s">
        <v>6225</v>
      </c>
      <c r="J179" s="26" t="s">
        <v>6224</v>
      </c>
      <c r="K179" s="27"/>
      <c r="L179" s="28" t="s">
        <v>6223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1615</v>
      </c>
      <c r="C180" s="44" t="s">
        <v>1616</v>
      </c>
      <c r="D180" s="42" t="s">
        <v>1266</v>
      </c>
      <c r="E180" s="46">
        <v>46125</v>
      </c>
      <c r="F180" s="26" t="s">
        <v>6222</v>
      </c>
      <c r="G180" s="26" t="s">
        <v>6224</v>
      </c>
      <c r="H180" s="26" t="s">
        <v>6223</v>
      </c>
      <c r="I180" s="26" t="s">
        <v>6225</v>
      </c>
      <c r="J180" s="26" t="s">
        <v>6224</v>
      </c>
      <c r="K180" s="27"/>
      <c r="L180" s="28" t="s">
        <v>6223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1617</v>
      </c>
      <c r="C181" s="25" t="s">
        <v>1618</v>
      </c>
      <c r="D181" s="23" t="s">
        <v>1266</v>
      </c>
      <c r="E181" s="46">
        <v>46125</v>
      </c>
      <c r="F181" s="26" t="s">
        <v>6222</v>
      </c>
      <c r="G181" s="26" t="s">
        <v>6224</v>
      </c>
      <c r="H181" s="26" t="s">
        <v>6223</v>
      </c>
      <c r="I181" s="26" t="s">
        <v>6225</v>
      </c>
      <c r="J181" s="26" t="s">
        <v>6224</v>
      </c>
      <c r="K181" s="27"/>
      <c r="L181" s="28" t="s">
        <v>6223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1619</v>
      </c>
      <c r="C182" s="44" t="s">
        <v>1620</v>
      </c>
      <c r="D182" s="42" t="s">
        <v>1266</v>
      </c>
      <c r="E182" s="46">
        <v>46125</v>
      </c>
      <c r="F182" s="26" t="s">
        <v>6222</v>
      </c>
      <c r="G182" s="26" t="s">
        <v>6224</v>
      </c>
      <c r="H182" s="26" t="s">
        <v>6223</v>
      </c>
      <c r="I182" s="26" t="s">
        <v>6225</v>
      </c>
      <c r="J182" s="26" t="s">
        <v>6224</v>
      </c>
      <c r="K182" s="27"/>
      <c r="L182" s="28" t="s">
        <v>6223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1621</v>
      </c>
      <c r="C183" s="25" t="s">
        <v>1622</v>
      </c>
      <c r="D183" s="23" t="s">
        <v>1266</v>
      </c>
      <c r="E183" s="46">
        <v>46125</v>
      </c>
      <c r="F183" s="26" t="s">
        <v>6222</v>
      </c>
      <c r="G183" s="26" t="s">
        <v>6224</v>
      </c>
      <c r="H183" s="26" t="s">
        <v>6223</v>
      </c>
      <c r="I183" s="26" t="s">
        <v>6225</v>
      </c>
      <c r="J183" s="26" t="s">
        <v>6224</v>
      </c>
      <c r="K183" s="27"/>
      <c r="L183" s="28" t="s">
        <v>6223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1623</v>
      </c>
      <c r="C184" s="44" t="s">
        <v>1624</v>
      </c>
      <c r="D184" s="42" t="s">
        <v>1266</v>
      </c>
      <c r="E184" s="46">
        <v>46125</v>
      </c>
      <c r="F184" s="26" t="s">
        <v>6222</v>
      </c>
      <c r="G184" s="26" t="s">
        <v>6224</v>
      </c>
      <c r="H184" s="26" t="s">
        <v>6223</v>
      </c>
      <c r="I184" s="26" t="s">
        <v>6225</v>
      </c>
      <c r="J184" s="26" t="s">
        <v>6224</v>
      </c>
      <c r="K184" s="27"/>
      <c r="L184" s="28" t="s">
        <v>6223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1625</v>
      </c>
      <c r="C185" s="25" t="s">
        <v>1626</v>
      </c>
      <c r="D185" s="23" t="s">
        <v>1266</v>
      </c>
      <c r="E185" s="46">
        <v>46125</v>
      </c>
      <c r="F185" s="26" t="s">
        <v>6222</v>
      </c>
      <c r="G185" s="26" t="s">
        <v>6224</v>
      </c>
      <c r="H185" s="26" t="s">
        <v>6223</v>
      </c>
      <c r="I185" s="26" t="s">
        <v>6225</v>
      </c>
      <c r="J185" s="26" t="s">
        <v>6224</v>
      </c>
      <c r="K185" s="27"/>
      <c r="L185" s="28" t="s">
        <v>6223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1627</v>
      </c>
      <c r="C186" s="44" t="s">
        <v>1628</v>
      </c>
      <c r="D186" s="42" t="s">
        <v>1266</v>
      </c>
      <c r="E186" s="46">
        <v>46125</v>
      </c>
      <c r="F186" s="26" t="s">
        <v>6222</v>
      </c>
      <c r="G186" s="26" t="s">
        <v>6224</v>
      </c>
      <c r="H186" s="26" t="s">
        <v>6223</v>
      </c>
      <c r="I186" s="26" t="s">
        <v>6225</v>
      </c>
      <c r="J186" s="26" t="s">
        <v>6224</v>
      </c>
      <c r="K186" s="27"/>
      <c r="L186" s="28" t="s">
        <v>6223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1629</v>
      </c>
      <c r="C187" s="25" t="s">
        <v>1630</v>
      </c>
      <c r="D187" s="23" t="s">
        <v>1266</v>
      </c>
      <c r="E187" s="46">
        <v>46125</v>
      </c>
      <c r="F187" s="26" t="s">
        <v>6222</v>
      </c>
      <c r="G187" s="26" t="s">
        <v>6224</v>
      </c>
      <c r="H187" s="26" t="s">
        <v>6223</v>
      </c>
      <c r="I187" s="26" t="s">
        <v>6225</v>
      </c>
      <c r="J187" s="26" t="s">
        <v>6224</v>
      </c>
      <c r="K187" s="27"/>
      <c r="L187" s="28" t="s">
        <v>6223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1631</v>
      </c>
      <c r="C188" s="44" t="s">
        <v>1632</v>
      </c>
      <c r="D188" s="42" t="s">
        <v>1266</v>
      </c>
      <c r="E188" s="46">
        <v>46125</v>
      </c>
      <c r="F188" s="26" t="s">
        <v>6222</v>
      </c>
      <c r="G188" s="26" t="s">
        <v>6224</v>
      </c>
      <c r="H188" s="26" t="s">
        <v>6223</v>
      </c>
      <c r="I188" s="26" t="s">
        <v>6225</v>
      </c>
      <c r="J188" s="26" t="s">
        <v>6224</v>
      </c>
      <c r="K188" s="27"/>
      <c r="L188" s="28" t="s">
        <v>6223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1633</v>
      </c>
      <c r="C189" s="25" t="s">
        <v>1634</v>
      </c>
      <c r="D189" s="23" t="s">
        <v>1266</v>
      </c>
      <c r="E189" s="46">
        <v>46125</v>
      </c>
      <c r="F189" s="26" t="s">
        <v>6222</v>
      </c>
      <c r="G189" s="26" t="s">
        <v>6224</v>
      </c>
      <c r="H189" s="26" t="s">
        <v>6223</v>
      </c>
      <c r="I189" s="26" t="s">
        <v>6225</v>
      </c>
      <c r="J189" s="26" t="s">
        <v>6224</v>
      </c>
      <c r="K189" s="27"/>
      <c r="L189" s="28" t="s">
        <v>6223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1635</v>
      </c>
      <c r="C190" s="44" t="s">
        <v>1636</v>
      </c>
      <c r="D190" s="42" t="s">
        <v>1266</v>
      </c>
      <c r="E190" s="46">
        <v>46125</v>
      </c>
      <c r="F190" s="26" t="s">
        <v>6222</v>
      </c>
      <c r="G190" s="26" t="s">
        <v>6224</v>
      </c>
      <c r="H190" s="26" t="s">
        <v>6223</v>
      </c>
      <c r="I190" s="26" t="s">
        <v>6225</v>
      </c>
      <c r="J190" s="26" t="s">
        <v>6224</v>
      </c>
      <c r="K190" s="27"/>
      <c r="L190" s="28" t="s">
        <v>6223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1637</v>
      </c>
      <c r="C191" s="25" t="s">
        <v>1638</v>
      </c>
      <c r="D191" s="23" t="s">
        <v>1266</v>
      </c>
      <c r="E191" s="46">
        <v>46125</v>
      </c>
      <c r="F191" s="26" t="s">
        <v>6222</v>
      </c>
      <c r="G191" s="26" t="s">
        <v>6224</v>
      </c>
      <c r="H191" s="26" t="s">
        <v>6223</v>
      </c>
      <c r="I191" s="26" t="s">
        <v>6225</v>
      </c>
      <c r="J191" s="26" t="s">
        <v>6224</v>
      </c>
      <c r="K191" s="27"/>
      <c r="L191" s="28" t="s">
        <v>6223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1639</v>
      </c>
      <c r="C192" s="44" t="s">
        <v>1640</v>
      </c>
      <c r="D192" s="42" t="s">
        <v>1266</v>
      </c>
      <c r="E192" s="46">
        <v>46125</v>
      </c>
      <c r="F192" s="26" t="s">
        <v>6222</v>
      </c>
      <c r="G192" s="26" t="s">
        <v>6224</v>
      </c>
      <c r="H192" s="26" t="s">
        <v>6223</v>
      </c>
      <c r="I192" s="26" t="s">
        <v>6225</v>
      </c>
      <c r="J192" s="26" t="s">
        <v>6224</v>
      </c>
      <c r="K192" s="27"/>
      <c r="L192" s="28" t="s">
        <v>6223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1641</v>
      </c>
      <c r="C193" s="25" t="s">
        <v>1642</v>
      </c>
      <c r="D193" s="23" t="s">
        <v>1266</v>
      </c>
      <c r="E193" s="46">
        <v>46125</v>
      </c>
      <c r="F193" s="26" t="s">
        <v>6222</v>
      </c>
      <c r="G193" s="26" t="s">
        <v>6224</v>
      </c>
      <c r="H193" s="26" t="s">
        <v>6223</v>
      </c>
      <c r="I193" s="26" t="s">
        <v>6225</v>
      </c>
      <c r="J193" s="26" t="s">
        <v>6224</v>
      </c>
      <c r="K193" s="27"/>
      <c r="L193" s="28" t="s">
        <v>6223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1643</v>
      </c>
      <c r="C194" s="44" t="s">
        <v>1644</v>
      </c>
      <c r="D194" s="42" t="s">
        <v>1266</v>
      </c>
      <c r="E194" s="46">
        <v>46125</v>
      </c>
      <c r="F194" s="26" t="s">
        <v>6222</v>
      </c>
      <c r="G194" s="26" t="s">
        <v>6224</v>
      </c>
      <c r="H194" s="26" t="s">
        <v>6223</v>
      </c>
      <c r="I194" s="26" t="s">
        <v>6225</v>
      </c>
      <c r="J194" s="26" t="s">
        <v>6224</v>
      </c>
      <c r="K194" s="27"/>
      <c r="L194" s="28" t="s">
        <v>6223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1645</v>
      </c>
      <c r="C195" s="25" t="s">
        <v>1646</v>
      </c>
      <c r="D195" s="23" t="s">
        <v>1266</v>
      </c>
      <c r="E195" s="46">
        <v>46125</v>
      </c>
      <c r="F195" s="26" t="s">
        <v>6222</v>
      </c>
      <c r="G195" s="26" t="s">
        <v>6224</v>
      </c>
      <c r="H195" s="26" t="s">
        <v>6223</v>
      </c>
      <c r="I195" s="26" t="s">
        <v>6225</v>
      </c>
      <c r="J195" s="26" t="s">
        <v>6224</v>
      </c>
      <c r="K195" s="27"/>
      <c r="L195" s="28" t="s">
        <v>6223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1647</v>
      </c>
      <c r="C196" s="44" t="s">
        <v>1648</v>
      </c>
      <c r="D196" s="42" t="s">
        <v>1266</v>
      </c>
      <c r="E196" s="46">
        <v>46125</v>
      </c>
      <c r="F196" s="26" t="s">
        <v>6222</v>
      </c>
      <c r="G196" s="26" t="s">
        <v>6224</v>
      </c>
      <c r="H196" s="26" t="s">
        <v>6223</v>
      </c>
      <c r="I196" s="26" t="s">
        <v>6225</v>
      </c>
      <c r="J196" s="26" t="s">
        <v>6224</v>
      </c>
      <c r="K196" s="27"/>
      <c r="L196" s="28" t="s">
        <v>6223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1649</v>
      </c>
      <c r="C197" s="25" t="s">
        <v>1650</v>
      </c>
      <c r="D197" s="23" t="s">
        <v>1266</v>
      </c>
      <c r="E197" s="46">
        <v>46125</v>
      </c>
      <c r="F197" s="26" t="s">
        <v>6222</v>
      </c>
      <c r="G197" s="26" t="s">
        <v>6224</v>
      </c>
      <c r="H197" s="26" t="s">
        <v>6223</v>
      </c>
      <c r="I197" s="26" t="s">
        <v>6225</v>
      </c>
      <c r="J197" s="26" t="s">
        <v>6224</v>
      </c>
      <c r="K197" s="27"/>
      <c r="L197" s="28" t="s">
        <v>6223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1651</v>
      </c>
      <c r="C198" s="44" t="s">
        <v>1652</v>
      </c>
      <c r="D198" s="42" t="s">
        <v>1266</v>
      </c>
      <c r="E198" s="46">
        <v>46125</v>
      </c>
      <c r="F198" s="26" t="s">
        <v>6222</v>
      </c>
      <c r="G198" s="26" t="s">
        <v>6224</v>
      </c>
      <c r="H198" s="26" t="s">
        <v>6223</v>
      </c>
      <c r="I198" s="26" t="s">
        <v>6225</v>
      </c>
      <c r="J198" s="26" t="s">
        <v>6224</v>
      </c>
      <c r="K198" s="27"/>
      <c r="L198" s="28" t="s">
        <v>6223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1653</v>
      </c>
      <c r="C199" s="25" t="s">
        <v>1654</v>
      </c>
      <c r="D199" s="23" t="s">
        <v>1266</v>
      </c>
      <c r="E199" s="46">
        <v>46125</v>
      </c>
      <c r="F199" s="26" t="s">
        <v>6222</v>
      </c>
      <c r="G199" s="26" t="s">
        <v>6224</v>
      </c>
      <c r="H199" s="26" t="s">
        <v>6223</v>
      </c>
      <c r="I199" s="26" t="s">
        <v>6225</v>
      </c>
      <c r="J199" s="26" t="s">
        <v>6224</v>
      </c>
      <c r="K199" s="27"/>
      <c r="L199" s="28" t="s">
        <v>6223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1655</v>
      </c>
      <c r="C200" s="44" t="s">
        <v>1656</v>
      </c>
      <c r="D200" s="42" t="s">
        <v>1266</v>
      </c>
      <c r="E200" s="46">
        <v>46125</v>
      </c>
      <c r="F200" s="26" t="s">
        <v>6222</v>
      </c>
      <c r="G200" s="26" t="s">
        <v>6224</v>
      </c>
      <c r="H200" s="26" t="s">
        <v>6223</v>
      </c>
      <c r="I200" s="26" t="s">
        <v>6225</v>
      </c>
      <c r="J200" s="26" t="s">
        <v>6224</v>
      </c>
      <c r="K200" s="27"/>
      <c r="L200" s="28" t="s">
        <v>6223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1657</v>
      </c>
      <c r="C201" s="25" t="s">
        <v>1658</v>
      </c>
      <c r="D201" s="23" t="s">
        <v>1266</v>
      </c>
      <c r="E201" s="46">
        <v>46125</v>
      </c>
      <c r="F201" s="26" t="s">
        <v>6222</v>
      </c>
      <c r="G201" s="26" t="s">
        <v>6224</v>
      </c>
      <c r="H201" s="26" t="s">
        <v>6223</v>
      </c>
      <c r="I201" s="26" t="s">
        <v>6225</v>
      </c>
      <c r="J201" s="26" t="s">
        <v>6224</v>
      </c>
      <c r="K201" s="27"/>
      <c r="L201" s="28" t="s">
        <v>6223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1659</v>
      </c>
      <c r="C202" s="44" t="s">
        <v>1660</v>
      </c>
      <c r="D202" s="42" t="s">
        <v>1266</v>
      </c>
      <c r="E202" s="46">
        <v>46125</v>
      </c>
      <c r="F202" s="26" t="s">
        <v>6222</v>
      </c>
      <c r="G202" s="26" t="s">
        <v>6224</v>
      </c>
      <c r="H202" s="26" t="s">
        <v>6223</v>
      </c>
      <c r="I202" s="26" t="s">
        <v>6225</v>
      </c>
      <c r="J202" s="26" t="s">
        <v>6224</v>
      </c>
      <c r="K202" s="27"/>
      <c r="L202" s="28" t="s">
        <v>6223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1661</v>
      </c>
      <c r="C203" s="25" t="s">
        <v>1662</v>
      </c>
      <c r="D203" s="23" t="s">
        <v>1266</v>
      </c>
      <c r="E203" s="46">
        <v>46125</v>
      </c>
      <c r="F203" s="26" t="s">
        <v>6222</v>
      </c>
      <c r="G203" s="26" t="s">
        <v>6224</v>
      </c>
      <c r="H203" s="26" t="s">
        <v>6223</v>
      </c>
      <c r="I203" s="26" t="s">
        <v>6225</v>
      </c>
      <c r="J203" s="26" t="s">
        <v>6224</v>
      </c>
      <c r="K203" s="27"/>
      <c r="L203" s="28" t="s">
        <v>6223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1663</v>
      </c>
      <c r="C204" s="44" t="s">
        <v>1664</v>
      </c>
      <c r="D204" s="42" t="s">
        <v>1266</v>
      </c>
      <c r="E204" s="46">
        <v>46125</v>
      </c>
      <c r="F204" s="26" t="s">
        <v>6222</v>
      </c>
      <c r="G204" s="26" t="s">
        <v>6224</v>
      </c>
      <c r="H204" s="26" t="s">
        <v>6223</v>
      </c>
      <c r="I204" s="26" t="s">
        <v>6225</v>
      </c>
      <c r="J204" s="26" t="s">
        <v>6224</v>
      </c>
      <c r="K204" s="27"/>
      <c r="L204" s="28" t="s">
        <v>6223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1665</v>
      </c>
      <c r="C205" s="25" t="s">
        <v>1666</v>
      </c>
      <c r="D205" s="23" t="s">
        <v>1266</v>
      </c>
      <c r="E205" s="46">
        <v>46125</v>
      </c>
      <c r="F205" s="26" t="s">
        <v>6222</v>
      </c>
      <c r="G205" s="26" t="s">
        <v>6224</v>
      </c>
      <c r="H205" s="26" t="s">
        <v>6223</v>
      </c>
      <c r="I205" s="26" t="s">
        <v>6225</v>
      </c>
      <c r="J205" s="26" t="s">
        <v>6224</v>
      </c>
      <c r="K205" s="27"/>
      <c r="L205" s="28" t="s">
        <v>6223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1667</v>
      </c>
      <c r="C206" s="44" t="s">
        <v>1668</v>
      </c>
      <c r="D206" s="42" t="s">
        <v>1266</v>
      </c>
      <c r="E206" s="46">
        <v>46125</v>
      </c>
      <c r="F206" s="26" t="s">
        <v>6222</v>
      </c>
      <c r="G206" s="26" t="s">
        <v>6224</v>
      </c>
      <c r="H206" s="26" t="s">
        <v>6223</v>
      </c>
      <c r="I206" s="26" t="s">
        <v>6225</v>
      </c>
      <c r="J206" s="26" t="s">
        <v>6224</v>
      </c>
      <c r="K206" s="27"/>
      <c r="L206" s="28" t="s">
        <v>6223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1669</v>
      </c>
      <c r="C207" s="25" t="s">
        <v>1670</v>
      </c>
      <c r="D207" s="23" t="s">
        <v>1266</v>
      </c>
      <c r="E207" s="46">
        <v>46125</v>
      </c>
      <c r="F207" s="26" t="s">
        <v>6222</v>
      </c>
      <c r="G207" s="26" t="s">
        <v>6224</v>
      </c>
      <c r="H207" s="26" t="s">
        <v>6223</v>
      </c>
      <c r="I207" s="26" t="s">
        <v>6225</v>
      </c>
      <c r="J207" s="26" t="s">
        <v>6224</v>
      </c>
      <c r="K207" s="27"/>
      <c r="L207" s="28" t="s">
        <v>6223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1671</v>
      </c>
      <c r="C208" s="44" t="s">
        <v>1672</v>
      </c>
      <c r="D208" s="42" t="s">
        <v>1266</v>
      </c>
      <c r="E208" s="46">
        <v>46125</v>
      </c>
      <c r="F208" s="26" t="s">
        <v>6222</v>
      </c>
      <c r="G208" s="26" t="s">
        <v>6224</v>
      </c>
      <c r="H208" s="26" t="s">
        <v>6223</v>
      </c>
      <c r="I208" s="26" t="s">
        <v>6225</v>
      </c>
      <c r="J208" s="26" t="s">
        <v>6224</v>
      </c>
      <c r="K208" s="27"/>
      <c r="L208" s="28" t="s">
        <v>6223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1673</v>
      </c>
      <c r="C209" s="25" t="s">
        <v>1674</v>
      </c>
      <c r="D209" s="23" t="s">
        <v>1266</v>
      </c>
      <c r="E209" s="46">
        <v>46125</v>
      </c>
      <c r="F209" s="26" t="s">
        <v>6222</v>
      </c>
      <c r="G209" s="26" t="s">
        <v>6224</v>
      </c>
      <c r="H209" s="26" t="s">
        <v>6223</v>
      </c>
      <c r="I209" s="26" t="s">
        <v>6225</v>
      </c>
      <c r="J209" s="26" t="s">
        <v>6224</v>
      </c>
      <c r="K209" s="27"/>
      <c r="L209" s="28" t="s">
        <v>6223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1675</v>
      </c>
      <c r="C210" s="44" t="s">
        <v>1676</v>
      </c>
      <c r="D210" s="42" t="s">
        <v>1266</v>
      </c>
      <c r="E210" s="46">
        <v>46125</v>
      </c>
      <c r="F210" s="26" t="s">
        <v>6222</v>
      </c>
      <c r="G210" s="26" t="s">
        <v>6224</v>
      </c>
      <c r="H210" s="26" t="s">
        <v>6223</v>
      </c>
      <c r="I210" s="26" t="s">
        <v>6225</v>
      </c>
      <c r="J210" s="26" t="s">
        <v>6224</v>
      </c>
      <c r="K210" s="27"/>
      <c r="L210" s="28" t="s">
        <v>6223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1677</v>
      </c>
      <c r="C211" s="25" t="s">
        <v>1678</v>
      </c>
      <c r="D211" s="23" t="s">
        <v>1266</v>
      </c>
      <c r="E211" s="46">
        <v>46125</v>
      </c>
      <c r="F211" s="26" t="s">
        <v>6222</v>
      </c>
      <c r="G211" s="26" t="s">
        <v>6224</v>
      </c>
      <c r="H211" s="26" t="s">
        <v>6223</v>
      </c>
      <c r="I211" s="26" t="s">
        <v>6225</v>
      </c>
      <c r="J211" s="26" t="s">
        <v>6224</v>
      </c>
      <c r="K211" s="27"/>
      <c r="L211" s="28" t="s">
        <v>6223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1679</v>
      </c>
      <c r="C212" s="44" t="s">
        <v>1680</v>
      </c>
      <c r="D212" s="42" t="s">
        <v>1266</v>
      </c>
      <c r="E212" s="46">
        <v>46125</v>
      </c>
      <c r="F212" s="26" t="s">
        <v>6222</v>
      </c>
      <c r="G212" s="26" t="s">
        <v>6224</v>
      </c>
      <c r="H212" s="26" t="s">
        <v>6223</v>
      </c>
      <c r="I212" s="26" t="s">
        <v>6225</v>
      </c>
      <c r="J212" s="26" t="s">
        <v>6224</v>
      </c>
      <c r="K212" s="27"/>
      <c r="L212" s="28" t="s">
        <v>6223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1681</v>
      </c>
      <c r="C213" s="25" t="s">
        <v>1682</v>
      </c>
      <c r="D213" s="23" t="s">
        <v>1266</v>
      </c>
      <c r="E213" s="46">
        <v>46125</v>
      </c>
      <c r="F213" s="26" t="s">
        <v>6222</v>
      </c>
      <c r="G213" s="26" t="s">
        <v>6224</v>
      </c>
      <c r="H213" s="26" t="s">
        <v>6223</v>
      </c>
      <c r="I213" s="26" t="s">
        <v>6225</v>
      </c>
      <c r="J213" s="26" t="s">
        <v>6224</v>
      </c>
      <c r="K213" s="27"/>
      <c r="L213" s="28" t="s">
        <v>6223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1683</v>
      </c>
      <c r="C214" s="44" t="s">
        <v>1684</v>
      </c>
      <c r="D214" s="42" t="s">
        <v>1266</v>
      </c>
      <c r="E214" s="46">
        <v>46125</v>
      </c>
      <c r="F214" s="26" t="s">
        <v>6222</v>
      </c>
      <c r="G214" s="26" t="s">
        <v>6224</v>
      </c>
      <c r="H214" s="26" t="s">
        <v>6223</v>
      </c>
      <c r="I214" s="26" t="s">
        <v>6225</v>
      </c>
      <c r="J214" s="26" t="s">
        <v>6224</v>
      </c>
      <c r="K214" s="27"/>
      <c r="L214" s="28" t="s">
        <v>6223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1685</v>
      </c>
      <c r="C215" s="25" t="s">
        <v>1686</v>
      </c>
      <c r="D215" s="23" t="s">
        <v>1266</v>
      </c>
      <c r="E215" s="46">
        <v>46125</v>
      </c>
      <c r="F215" s="26" t="s">
        <v>6222</v>
      </c>
      <c r="G215" s="26" t="s">
        <v>6224</v>
      </c>
      <c r="H215" s="26" t="s">
        <v>6223</v>
      </c>
      <c r="I215" s="26" t="s">
        <v>6225</v>
      </c>
      <c r="J215" s="26" t="s">
        <v>6224</v>
      </c>
      <c r="K215" s="27"/>
      <c r="L215" s="28" t="s">
        <v>6223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1687</v>
      </c>
      <c r="C216" s="44" t="s">
        <v>1688</v>
      </c>
      <c r="D216" s="42" t="s">
        <v>1266</v>
      </c>
      <c r="E216" s="46">
        <v>46125</v>
      </c>
      <c r="F216" s="26" t="s">
        <v>6222</v>
      </c>
      <c r="G216" s="26" t="s">
        <v>6224</v>
      </c>
      <c r="H216" s="26" t="s">
        <v>6223</v>
      </c>
      <c r="I216" s="26" t="s">
        <v>6225</v>
      </c>
      <c r="J216" s="26" t="s">
        <v>6224</v>
      </c>
      <c r="K216" s="27"/>
      <c r="L216" s="28" t="s">
        <v>6223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1689</v>
      </c>
      <c r="C217" s="25" t="s">
        <v>1690</v>
      </c>
      <c r="D217" s="23" t="s">
        <v>1266</v>
      </c>
      <c r="E217" s="46">
        <v>46125</v>
      </c>
      <c r="F217" s="26" t="s">
        <v>6222</v>
      </c>
      <c r="G217" s="26" t="s">
        <v>6224</v>
      </c>
      <c r="H217" s="26" t="s">
        <v>6223</v>
      </c>
      <c r="I217" s="26" t="s">
        <v>6225</v>
      </c>
      <c r="J217" s="26" t="s">
        <v>6224</v>
      </c>
      <c r="K217" s="27"/>
      <c r="L217" s="28" t="s">
        <v>6223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1691</v>
      </c>
      <c r="C218" s="44" t="s">
        <v>1692</v>
      </c>
      <c r="D218" s="42" t="s">
        <v>1266</v>
      </c>
      <c r="E218" s="46">
        <v>46125</v>
      </c>
      <c r="F218" s="26" t="s">
        <v>6222</v>
      </c>
      <c r="G218" s="26" t="s">
        <v>6224</v>
      </c>
      <c r="H218" s="26" t="s">
        <v>6223</v>
      </c>
      <c r="I218" s="26" t="s">
        <v>6225</v>
      </c>
      <c r="J218" s="26" t="s">
        <v>6224</v>
      </c>
      <c r="K218" s="27"/>
      <c r="L218" s="28" t="s">
        <v>6223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1693</v>
      </c>
      <c r="C219" s="25" t="s">
        <v>1694</v>
      </c>
      <c r="D219" s="23" t="s">
        <v>1266</v>
      </c>
      <c r="E219" s="46">
        <v>46125</v>
      </c>
      <c r="F219" s="26" t="s">
        <v>6222</v>
      </c>
      <c r="G219" s="26" t="s">
        <v>6224</v>
      </c>
      <c r="H219" s="26" t="s">
        <v>6223</v>
      </c>
      <c r="I219" s="26" t="s">
        <v>6225</v>
      </c>
      <c r="J219" s="26" t="s">
        <v>6224</v>
      </c>
      <c r="K219" s="27"/>
      <c r="L219" s="28" t="s">
        <v>6223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1695</v>
      </c>
      <c r="C220" s="44" t="s">
        <v>1696</v>
      </c>
      <c r="D220" s="42" t="s">
        <v>1266</v>
      </c>
      <c r="E220" s="46">
        <v>46125</v>
      </c>
      <c r="F220" s="26" t="s">
        <v>6222</v>
      </c>
      <c r="G220" s="26" t="s">
        <v>6224</v>
      </c>
      <c r="H220" s="26" t="s">
        <v>6223</v>
      </c>
      <c r="I220" s="26" t="s">
        <v>6225</v>
      </c>
      <c r="J220" s="26" t="s">
        <v>6224</v>
      </c>
      <c r="K220" s="27"/>
      <c r="L220" s="28" t="s">
        <v>6223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1697</v>
      </c>
      <c r="C221" s="25" t="s">
        <v>1698</v>
      </c>
      <c r="D221" s="23" t="s">
        <v>1266</v>
      </c>
      <c r="E221" s="46">
        <v>46125</v>
      </c>
      <c r="F221" s="26" t="s">
        <v>6222</v>
      </c>
      <c r="G221" s="26" t="s">
        <v>6224</v>
      </c>
      <c r="H221" s="26" t="s">
        <v>6223</v>
      </c>
      <c r="I221" s="26" t="s">
        <v>6225</v>
      </c>
      <c r="J221" s="26" t="s">
        <v>6224</v>
      </c>
      <c r="K221" s="27"/>
      <c r="L221" s="28" t="s">
        <v>6223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1699</v>
      </c>
      <c r="C222" s="44" t="s">
        <v>1700</v>
      </c>
      <c r="D222" s="42" t="s">
        <v>1266</v>
      </c>
      <c r="E222" s="46">
        <v>46125</v>
      </c>
      <c r="F222" s="26" t="s">
        <v>6222</v>
      </c>
      <c r="G222" s="26" t="s">
        <v>6224</v>
      </c>
      <c r="H222" s="26" t="s">
        <v>6223</v>
      </c>
      <c r="I222" s="26" t="s">
        <v>6225</v>
      </c>
      <c r="J222" s="26" t="s">
        <v>6224</v>
      </c>
      <c r="K222" s="27"/>
      <c r="L222" s="28" t="s">
        <v>6223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1701</v>
      </c>
      <c r="C223" s="25" t="s">
        <v>1702</v>
      </c>
      <c r="D223" s="23" t="s">
        <v>1266</v>
      </c>
      <c r="E223" s="46">
        <v>46125</v>
      </c>
      <c r="F223" s="26" t="s">
        <v>6222</v>
      </c>
      <c r="G223" s="26" t="s">
        <v>6224</v>
      </c>
      <c r="H223" s="26" t="s">
        <v>6223</v>
      </c>
      <c r="I223" s="26" t="s">
        <v>6225</v>
      </c>
      <c r="J223" s="26" t="s">
        <v>6224</v>
      </c>
      <c r="K223" s="27"/>
      <c r="L223" s="28" t="s">
        <v>6223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1703</v>
      </c>
      <c r="C224" s="44" t="s">
        <v>1704</v>
      </c>
      <c r="D224" s="42" t="s">
        <v>1266</v>
      </c>
      <c r="E224" s="46">
        <v>46125</v>
      </c>
      <c r="F224" s="26" t="s">
        <v>6222</v>
      </c>
      <c r="G224" s="26" t="s">
        <v>6224</v>
      </c>
      <c r="H224" s="26" t="s">
        <v>6223</v>
      </c>
      <c r="I224" s="26" t="s">
        <v>6225</v>
      </c>
      <c r="J224" s="26" t="s">
        <v>6224</v>
      </c>
      <c r="K224" s="27"/>
      <c r="L224" s="28" t="s">
        <v>6223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1705</v>
      </c>
      <c r="C225" s="25" t="s">
        <v>1706</v>
      </c>
      <c r="D225" s="23" t="s">
        <v>1266</v>
      </c>
      <c r="E225" s="46">
        <v>46125</v>
      </c>
      <c r="F225" s="26" t="s">
        <v>6222</v>
      </c>
      <c r="G225" s="26" t="s">
        <v>6224</v>
      </c>
      <c r="H225" s="26" t="s">
        <v>6223</v>
      </c>
      <c r="I225" s="26" t="s">
        <v>6225</v>
      </c>
      <c r="J225" s="26" t="s">
        <v>6224</v>
      </c>
      <c r="K225" s="27"/>
      <c r="L225" s="28" t="s">
        <v>6223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1707</v>
      </c>
      <c r="C226" s="44" t="s">
        <v>1708</v>
      </c>
      <c r="D226" s="42" t="s">
        <v>1266</v>
      </c>
      <c r="E226" s="46">
        <v>46125</v>
      </c>
      <c r="F226" s="26" t="s">
        <v>6222</v>
      </c>
      <c r="G226" s="26" t="s">
        <v>6224</v>
      </c>
      <c r="H226" s="26" t="s">
        <v>6223</v>
      </c>
      <c r="I226" s="26" t="s">
        <v>6225</v>
      </c>
      <c r="J226" s="26" t="s">
        <v>6224</v>
      </c>
      <c r="K226" s="27"/>
      <c r="L226" s="28" t="s">
        <v>6223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1709</v>
      </c>
      <c r="C227" s="25" t="s">
        <v>1710</v>
      </c>
      <c r="D227" s="23" t="s">
        <v>1266</v>
      </c>
      <c r="E227" s="46">
        <v>46125</v>
      </c>
      <c r="F227" s="26" t="s">
        <v>6222</v>
      </c>
      <c r="G227" s="26" t="s">
        <v>6224</v>
      </c>
      <c r="H227" s="26" t="s">
        <v>6223</v>
      </c>
      <c r="I227" s="26" t="s">
        <v>6225</v>
      </c>
      <c r="J227" s="26" t="s">
        <v>6224</v>
      </c>
      <c r="K227" s="27"/>
      <c r="L227" s="28" t="s">
        <v>6223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1711</v>
      </c>
      <c r="C228" s="44" t="s">
        <v>1712</v>
      </c>
      <c r="D228" s="42" t="s">
        <v>1266</v>
      </c>
      <c r="E228" s="46">
        <v>46125</v>
      </c>
      <c r="F228" s="26" t="s">
        <v>6222</v>
      </c>
      <c r="G228" s="26" t="s">
        <v>6224</v>
      </c>
      <c r="H228" s="26" t="s">
        <v>6223</v>
      </c>
      <c r="I228" s="26" t="s">
        <v>6225</v>
      </c>
      <c r="J228" s="26" t="s">
        <v>6224</v>
      </c>
      <c r="K228" s="27"/>
      <c r="L228" s="28" t="s">
        <v>6223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1713</v>
      </c>
      <c r="C229" s="25" t="s">
        <v>1714</v>
      </c>
      <c r="D229" s="23" t="s">
        <v>1266</v>
      </c>
      <c r="E229" s="46">
        <v>46125</v>
      </c>
      <c r="F229" s="26" t="s">
        <v>6222</v>
      </c>
      <c r="G229" s="26" t="s">
        <v>6224</v>
      </c>
      <c r="H229" s="26" t="s">
        <v>6223</v>
      </c>
      <c r="I229" s="26" t="s">
        <v>6225</v>
      </c>
      <c r="J229" s="26" t="s">
        <v>6224</v>
      </c>
      <c r="K229" s="27"/>
      <c r="L229" s="28" t="s">
        <v>6223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1715</v>
      </c>
      <c r="C230" s="44" t="s">
        <v>1716</v>
      </c>
      <c r="D230" s="42" t="s">
        <v>1266</v>
      </c>
      <c r="E230" s="46">
        <v>46125</v>
      </c>
      <c r="F230" s="26" t="s">
        <v>6222</v>
      </c>
      <c r="G230" s="26" t="s">
        <v>6224</v>
      </c>
      <c r="H230" s="26" t="s">
        <v>6223</v>
      </c>
      <c r="I230" s="26" t="s">
        <v>6225</v>
      </c>
      <c r="J230" s="26" t="s">
        <v>6224</v>
      </c>
      <c r="K230" s="27"/>
      <c r="L230" s="28" t="s">
        <v>6223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1717</v>
      </c>
      <c r="C231" s="25" t="s">
        <v>1718</v>
      </c>
      <c r="D231" s="23" t="s">
        <v>1266</v>
      </c>
      <c r="E231" s="46">
        <v>46125</v>
      </c>
      <c r="F231" s="26" t="s">
        <v>6222</v>
      </c>
      <c r="G231" s="26" t="s">
        <v>6224</v>
      </c>
      <c r="H231" s="26" t="s">
        <v>6223</v>
      </c>
      <c r="I231" s="26" t="s">
        <v>6225</v>
      </c>
      <c r="J231" s="26" t="s">
        <v>6224</v>
      </c>
      <c r="K231" s="27"/>
      <c r="L231" s="28" t="s">
        <v>6223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1719</v>
      </c>
      <c r="C232" s="44" t="s">
        <v>1720</v>
      </c>
      <c r="D232" s="42" t="s">
        <v>1266</v>
      </c>
      <c r="E232" s="46">
        <v>46125</v>
      </c>
      <c r="F232" s="26" t="s">
        <v>6222</v>
      </c>
      <c r="G232" s="26" t="s">
        <v>6224</v>
      </c>
      <c r="H232" s="26" t="s">
        <v>6223</v>
      </c>
      <c r="I232" s="26" t="s">
        <v>6225</v>
      </c>
      <c r="J232" s="26" t="s">
        <v>6224</v>
      </c>
      <c r="K232" s="27"/>
      <c r="L232" s="28" t="s">
        <v>6223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1721</v>
      </c>
      <c r="C233" s="25" t="s">
        <v>1722</v>
      </c>
      <c r="D233" s="23" t="s">
        <v>1266</v>
      </c>
      <c r="E233" s="46">
        <v>46125</v>
      </c>
      <c r="F233" s="26" t="s">
        <v>6222</v>
      </c>
      <c r="G233" s="26" t="s">
        <v>6224</v>
      </c>
      <c r="H233" s="26" t="s">
        <v>6223</v>
      </c>
      <c r="I233" s="26" t="s">
        <v>6225</v>
      </c>
      <c r="J233" s="26" t="s">
        <v>6224</v>
      </c>
      <c r="K233" s="27"/>
      <c r="L233" s="28" t="s">
        <v>6223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1723</v>
      </c>
      <c r="C234" s="44" t="s">
        <v>1724</v>
      </c>
      <c r="D234" s="42" t="s">
        <v>1266</v>
      </c>
      <c r="E234" s="46">
        <v>46125</v>
      </c>
      <c r="F234" s="26" t="s">
        <v>6222</v>
      </c>
      <c r="G234" s="26" t="s">
        <v>6224</v>
      </c>
      <c r="H234" s="26" t="s">
        <v>6223</v>
      </c>
      <c r="I234" s="26" t="s">
        <v>6225</v>
      </c>
      <c r="J234" s="26" t="s">
        <v>6224</v>
      </c>
      <c r="K234" s="27"/>
      <c r="L234" s="28" t="s">
        <v>6223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1725</v>
      </c>
      <c r="C235" s="25" t="s">
        <v>1726</v>
      </c>
      <c r="D235" s="23" t="s">
        <v>1266</v>
      </c>
      <c r="E235" s="46">
        <v>46125</v>
      </c>
      <c r="F235" s="26" t="s">
        <v>6222</v>
      </c>
      <c r="G235" s="26" t="s">
        <v>6224</v>
      </c>
      <c r="H235" s="26" t="s">
        <v>6223</v>
      </c>
      <c r="I235" s="26" t="s">
        <v>6225</v>
      </c>
      <c r="J235" s="26" t="s">
        <v>6224</v>
      </c>
      <c r="K235" s="27"/>
      <c r="L235" s="28" t="s">
        <v>6223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1727</v>
      </c>
      <c r="C236" s="44" t="s">
        <v>1728</v>
      </c>
      <c r="D236" s="42" t="s">
        <v>1266</v>
      </c>
      <c r="E236" s="46">
        <v>46125</v>
      </c>
      <c r="F236" s="26" t="s">
        <v>6222</v>
      </c>
      <c r="G236" s="26" t="s">
        <v>6224</v>
      </c>
      <c r="H236" s="26" t="s">
        <v>6223</v>
      </c>
      <c r="I236" s="26" t="s">
        <v>6225</v>
      </c>
      <c r="J236" s="26" t="s">
        <v>6224</v>
      </c>
      <c r="K236" s="27"/>
      <c r="L236" s="28" t="s">
        <v>6223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1729</v>
      </c>
      <c r="C237" s="25" t="s">
        <v>1730</v>
      </c>
      <c r="D237" s="23" t="s">
        <v>1266</v>
      </c>
      <c r="E237" s="46">
        <v>46125</v>
      </c>
      <c r="F237" s="26" t="s">
        <v>6222</v>
      </c>
      <c r="G237" s="26" t="s">
        <v>6224</v>
      </c>
      <c r="H237" s="26" t="s">
        <v>6223</v>
      </c>
      <c r="I237" s="26" t="s">
        <v>6225</v>
      </c>
      <c r="J237" s="26" t="s">
        <v>6224</v>
      </c>
      <c r="K237" s="27"/>
      <c r="L237" s="28" t="s">
        <v>6223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1731</v>
      </c>
      <c r="C238" s="44" t="s">
        <v>1732</v>
      </c>
      <c r="D238" s="42" t="s">
        <v>1266</v>
      </c>
      <c r="E238" s="46">
        <v>46125</v>
      </c>
      <c r="F238" s="26" t="s">
        <v>6222</v>
      </c>
      <c r="G238" s="26" t="s">
        <v>6224</v>
      </c>
      <c r="H238" s="26" t="s">
        <v>6223</v>
      </c>
      <c r="I238" s="26" t="s">
        <v>6225</v>
      </c>
      <c r="J238" s="26" t="s">
        <v>6224</v>
      </c>
      <c r="K238" s="27"/>
      <c r="L238" s="28" t="s">
        <v>6223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1733</v>
      </c>
      <c r="C239" s="25" t="s">
        <v>1734</v>
      </c>
      <c r="D239" s="23" t="s">
        <v>1266</v>
      </c>
      <c r="E239" s="46">
        <v>46125</v>
      </c>
      <c r="F239" s="26" t="s">
        <v>6222</v>
      </c>
      <c r="G239" s="26" t="s">
        <v>6224</v>
      </c>
      <c r="H239" s="26" t="s">
        <v>6223</v>
      </c>
      <c r="I239" s="26" t="s">
        <v>6225</v>
      </c>
      <c r="J239" s="26" t="s">
        <v>6224</v>
      </c>
      <c r="K239" s="27"/>
      <c r="L239" s="28" t="s">
        <v>6223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1735</v>
      </c>
      <c r="C240" s="44" t="s">
        <v>1736</v>
      </c>
      <c r="D240" s="42" t="s">
        <v>1266</v>
      </c>
      <c r="E240" s="46">
        <v>46125</v>
      </c>
      <c r="F240" s="26" t="s">
        <v>6222</v>
      </c>
      <c r="G240" s="26" t="s">
        <v>6224</v>
      </c>
      <c r="H240" s="26" t="s">
        <v>6223</v>
      </c>
      <c r="I240" s="26" t="s">
        <v>6225</v>
      </c>
      <c r="J240" s="26" t="s">
        <v>6224</v>
      </c>
      <c r="K240" s="27"/>
      <c r="L240" s="28" t="s">
        <v>6223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1737</v>
      </c>
      <c r="C241" s="25" t="s">
        <v>1738</v>
      </c>
      <c r="D241" s="23" t="s">
        <v>1266</v>
      </c>
      <c r="E241" s="46">
        <v>46125</v>
      </c>
      <c r="F241" s="26" t="s">
        <v>6222</v>
      </c>
      <c r="G241" s="26" t="s">
        <v>6224</v>
      </c>
      <c r="H241" s="26" t="s">
        <v>6223</v>
      </c>
      <c r="I241" s="26" t="s">
        <v>6225</v>
      </c>
      <c r="J241" s="26" t="s">
        <v>6224</v>
      </c>
      <c r="K241" s="27"/>
      <c r="L241" s="28" t="s">
        <v>6223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1739</v>
      </c>
      <c r="C242" s="44" t="s">
        <v>1740</v>
      </c>
      <c r="D242" s="42" t="s">
        <v>1266</v>
      </c>
      <c r="E242" s="46">
        <v>46125</v>
      </c>
      <c r="F242" s="26" t="s">
        <v>6222</v>
      </c>
      <c r="G242" s="26" t="s">
        <v>6224</v>
      </c>
      <c r="H242" s="26" t="s">
        <v>6223</v>
      </c>
      <c r="I242" s="26" t="s">
        <v>6225</v>
      </c>
      <c r="J242" s="26" t="s">
        <v>6224</v>
      </c>
      <c r="K242" s="27"/>
      <c r="L242" s="28" t="s">
        <v>6223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1741</v>
      </c>
      <c r="C243" s="25" t="s">
        <v>1742</v>
      </c>
      <c r="D243" s="23" t="s">
        <v>1266</v>
      </c>
      <c r="E243" s="46">
        <v>46125</v>
      </c>
      <c r="F243" s="26" t="s">
        <v>6222</v>
      </c>
      <c r="G243" s="26" t="s">
        <v>6224</v>
      </c>
      <c r="H243" s="26" t="s">
        <v>6223</v>
      </c>
      <c r="I243" s="26" t="s">
        <v>6225</v>
      </c>
      <c r="J243" s="26" t="s">
        <v>6224</v>
      </c>
      <c r="K243" s="27"/>
      <c r="L243" s="28" t="s">
        <v>6223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1743</v>
      </c>
      <c r="C244" s="44" t="s">
        <v>1744</v>
      </c>
      <c r="D244" s="42" t="s">
        <v>1266</v>
      </c>
      <c r="E244" s="46">
        <v>46125</v>
      </c>
      <c r="F244" s="26" t="s">
        <v>6222</v>
      </c>
      <c r="G244" s="26" t="s">
        <v>6224</v>
      </c>
      <c r="H244" s="26" t="s">
        <v>6223</v>
      </c>
      <c r="I244" s="26" t="s">
        <v>6225</v>
      </c>
      <c r="J244" s="26" t="s">
        <v>6224</v>
      </c>
      <c r="K244" s="27"/>
      <c r="L244" s="28" t="s">
        <v>6223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1745</v>
      </c>
      <c r="C245" s="25" t="s">
        <v>1746</v>
      </c>
      <c r="D245" s="23" t="s">
        <v>1266</v>
      </c>
      <c r="E245" s="46">
        <v>46125</v>
      </c>
      <c r="F245" s="26" t="s">
        <v>6222</v>
      </c>
      <c r="G245" s="26" t="s">
        <v>6224</v>
      </c>
      <c r="H245" s="26" t="s">
        <v>6223</v>
      </c>
      <c r="I245" s="26" t="s">
        <v>6225</v>
      </c>
      <c r="J245" s="26" t="s">
        <v>6224</v>
      </c>
      <c r="K245" s="27"/>
      <c r="L245" s="28" t="s">
        <v>6223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1747</v>
      </c>
      <c r="C246" s="44" t="s">
        <v>1748</v>
      </c>
      <c r="D246" s="42" t="s">
        <v>1266</v>
      </c>
      <c r="E246" s="46">
        <v>46125</v>
      </c>
      <c r="F246" s="26" t="s">
        <v>6222</v>
      </c>
      <c r="G246" s="26" t="s">
        <v>6224</v>
      </c>
      <c r="H246" s="26" t="s">
        <v>6223</v>
      </c>
      <c r="I246" s="26" t="s">
        <v>6225</v>
      </c>
      <c r="J246" s="26" t="s">
        <v>6224</v>
      </c>
      <c r="K246" s="27"/>
      <c r="L246" s="28" t="s">
        <v>6223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1749</v>
      </c>
      <c r="C247" s="25" t="s">
        <v>1750</v>
      </c>
      <c r="D247" s="23" t="s">
        <v>1266</v>
      </c>
      <c r="E247" s="46">
        <v>46125</v>
      </c>
      <c r="F247" s="26" t="s">
        <v>6222</v>
      </c>
      <c r="G247" s="26" t="s">
        <v>6224</v>
      </c>
      <c r="H247" s="26" t="s">
        <v>6223</v>
      </c>
      <c r="I247" s="26" t="s">
        <v>6225</v>
      </c>
      <c r="J247" s="26" t="s">
        <v>6224</v>
      </c>
      <c r="K247" s="27"/>
      <c r="L247" s="28" t="s">
        <v>6223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1751</v>
      </c>
      <c r="C248" s="44" t="s">
        <v>1752</v>
      </c>
      <c r="D248" s="42" t="s">
        <v>1266</v>
      </c>
      <c r="E248" s="46">
        <v>46125</v>
      </c>
      <c r="F248" s="26" t="s">
        <v>6222</v>
      </c>
      <c r="G248" s="26" t="s">
        <v>6224</v>
      </c>
      <c r="H248" s="26" t="s">
        <v>6223</v>
      </c>
      <c r="I248" s="26" t="s">
        <v>6225</v>
      </c>
      <c r="J248" s="26" t="s">
        <v>6224</v>
      </c>
      <c r="K248" s="27"/>
      <c r="L248" s="28" t="s">
        <v>6223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1753</v>
      </c>
      <c r="C249" s="25" t="s">
        <v>1754</v>
      </c>
      <c r="D249" s="23" t="s">
        <v>1266</v>
      </c>
      <c r="E249" s="46">
        <v>46125</v>
      </c>
      <c r="F249" s="26" t="s">
        <v>6222</v>
      </c>
      <c r="G249" s="26" t="s">
        <v>6224</v>
      </c>
      <c r="H249" s="26" t="s">
        <v>6223</v>
      </c>
      <c r="I249" s="26" t="s">
        <v>6225</v>
      </c>
      <c r="J249" s="26" t="s">
        <v>6224</v>
      </c>
      <c r="K249" s="27"/>
      <c r="L249" s="28" t="s">
        <v>6223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1755</v>
      </c>
      <c r="C250" s="44" t="s">
        <v>1756</v>
      </c>
      <c r="D250" s="42" t="s">
        <v>1266</v>
      </c>
      <c r="E250" s="46">
        <v>46125</v>
      </c>
      <c r="F250" s="26" t="s">
        <v>6222</v>
      </c>
      <c r="G250" s="26" t="s">
        <v>6224</v>
      </c>
      <c r="H250" s="26" t="s">
        <v>6223</v>
      </c>
      <c r="I250" s="26" t="s">
        <v>6225</v>
      </c>
      <c r="J250" s="26" t="s">
        <v>6224</v>
      </c>
      <c r="K250" s="27"/>
      <c r="L250" s="28" t="s">
        <v>6223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1757</v>
      </c>
      <c r="C251" s="25" t="s">
        <v>1758</v>
      </c>
      <c r="D251" s="23" t="s">
        <v>1266</v>
      </c>
      <c r="E251" s="46">
        <v>46125</v>
      </c>
      <c r="F251" s="26" t="s">
        <v>6222</v>
      </c>
      <c r="G251" s="26" t="s">
        <v>6224</v>
      </c>
      <c r="H251" s="26" t="s">
        <v>6223</v>
      </c>
      <c r="I251" s="26" t="s">
        <v>6225</v>
      </c>
      <c r="J251" s="26" t="s">
        <v>6224</v>
      </c>
      <c r="K251" s="27"/>
      <c r="L251" s="28" t="s">
        <v>6223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1759</v>
      </c>
      <c r="C252" s="44" t="s">
        <v>1760</v>
      </c>
      <c r="D252" s="42" t="s">
        <v>1266</v>
      </c>
      <c r="E252" s="46">
        <v>46125</v>
      </c>
      <c r="F252" s="26" t="s">
        <v>6222</v>
      </c>
      <c r="G252" s="26" t="s">
        <v>6224</v>
      </c>
      <c r="H252" s="26" t="s">
        <v>6223</v>
      </c>
      <c r="I252" s="26" t="s">
        <v>6225</v>
      </c>
      <c r="J252" s="26" t="s">
        <v>6224</v>
      </c>
      <c r="K252" s="27"/>
      <c r="L252" s="28" t="s">
        <v>6223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1761</v>
      </c>
      <c r="C253" s="25" t="s">
        <v>1762</v>
      </c>
      <c r="D253" s="23" t="s">
        <v>1266</v>
      </c>
      <c r="E253" s="46">
        <v>46125</v>
      </c>
      <c r="F253" s="26" t="s">
        <v>6222</v>
      </c>
      <c r="G253" s="26" t="s">
        <v>6224</v>
      </c>
      <c r="H253" s="26" t="s">
        <v>6223</v>
      </c>
      <c r="I253" s="26" t="s">
        <v>6225</v>
      </c>
      <c r="J253" s="26" t="s">
        <v>6224</v>
      </c>
      <c r="K253" s="27"/>
      <c r="L253" s="28" t="s">
        <v>6223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1763</v>
      </c>
      <c r="C254" s="44" t="s">
        <v>1764</v>
      </c>
      <c r="D254" s="42" t="s">
        <v>1266</v>
      </c>
      <c r="E254" s="46">
        <v>46125</v>
      </c>
      <c r="F254" s="26" t="s">
        <v>6222</v>
      </c>
      <c r="G254" s="26" t="s">
        <v>6224</v>
      </c>
      <c r="H254" s="26" t="s">
        <v>6223</v>
      </c>
      <c r="I254" s="26" t="s">
        <v>6225</v>
      </c>
      <c r="J254" s="26" t="s">
        <v>6224</v>
      </c>
      <c r="K254" s="27"/>
      <c r="L254" s="28" t="s">
        <v>6223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1765</v>
      </c>
      <c r="C255" s="25" t="s">
        <v>1766</v>
      </c>
      <c r="D255" s="23" t="s">
        <v>1266</v>
      </c>
      <c r="E255" s="46">
        <v>46125</v>
      </c>
      <c r="F255" s="26" t="s">
        <v>6222</v>
      </c>
      <c r="G255" s="26" t="s">
        <v>6224</v>
      </c>
      <c r="H255" s="26" t="s">
        <v>6223</v>
      </c>
      <c r="I255" s="26" t="s">
        <v>6225</v>
      </c>
      <c r="J255" s="26" t="s">
        <v>6224</v>
      </c>
      <c r="K255" s="27"/>
      <c r="L255" s="28" t="s">
        <v>6223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1767</v>
      </c>
      <c r="C256" s="44" t="s">
        <v>1768</v>
      </c>
      <c r="D256" s="42" t="s">
        <v>1266</v>
      </c>
      <c r="E256" s="46">
        <v>46125</v>
      </c>
      <c r="F256" s="26" t="s">
        <v>6222</v>
      </c>
      <c r="G256" s="26" t="s">
        <v>6224</v>
      </c>
      <c r="H256" s="26" t="s">
        <v>6223</v>
      </c>
      <c r="I256" s="26" t="s">
        <v>6225</v>
      </c>
      <c r="J256" s="26" t="s">
        <v>6224</v>
      </c>
      <c r="K256" s="27"/>
      <c r="L256" s="28" t="s">
        <v>6223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1769</v>
      </c>
      <c r="C257" s="25" t="s">
        <v>1770</v>
      </c>
      <c r="D257" s="23" t="s">
        <v>1266</v>
      </c>
      <c r="E257" s="46">
        <v>46125</v>
      </c>
      <c r="F257" s="26" t="s">
        <v>6222</v>
      </c>
      <c r="G257" s="26" t="s">
        <v>6224</v>
      </c>
      <c r="H257" s="26" t="s">
        <v>6223</v>
      </c>
      <c r="I257" s="26" t="s">
        <v>6225</v>
      </c>
      <c r="J257" s="26" t="s">
        <v>6224</v>
      </c>
      <c r="K257" s="27"/>
      <c r="L257" s="28" t="s">
        <v>6223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1771</v>
      </c>
      <c r="C258" s="44" t="s">
        <v>1772</v>
      </c>
      <c r="D258" s="42" t="s">
        <v>1266</v>
      </c>
      <c r="E258" s="46">
        <v>46125</v>
      </c>
      <c r="F258" s="26" t="s">
        <v>6222</v>
      </c>
      <c r="G258" s="26" t="s">
        <v>6224</v>
      </c>
      <c r="H258" s="26" t="s">
        <v>6223</v>
      </c>
      <c r="I258" s="26" t="s">
        <v>6225</v>
      </c>
      <c r="J258" s="26" t="s">
        <v>6224</v>
      </c>
      <c r="K258" s="27"/>
      <c r="L258" s="28" t="s">
        <v>6223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1773</v>
      </c>
      <c r="C259" s="25" t="s">
        <v>1774</v>
      </c>
      <c r="D259" s="23" t="s">
        <v>1266</v>
      </c>
      <c r="E259" s="46">
        <v>46125</v>
      </c>
      <c r="F259" s="26" t="s">
        <v>6222</v>
      </c>
      <c r="G259" s="26" t="s">
        <v>6224</v>
      </c>
      <c r="H259" s="26" t="s">
        <v>6223</v>
      </c>
      <c r="I259" s="26" t="s">
        <v>6225</v>
      </c>
      <c r="J259" s="26" t="s">
        <v>6224</v>
      </c>
      <c r="K259" s="27"/>
      <c r="L259" s="28" t="s">
        <v>6223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1775</v>
      </c>
      <c r="C260" s="44" t="s">
        <v>1776</v>
      </c>
      <c r="D260" s="42" t="s">
        <v>1266</v>
      </c>
      <c r="E260" s="46">
        <v>46125</v>
      </c>
      <c r="F260" s="26" t="s">
        <v>6222</v>
      </c>
      <c r="G260" s="26" t="s">
        <v>6224</v>
      </c>
      <c r="H260" s="26" t="s">
        <v>6223</v>
      </c>
      <c r="I260" s="26" t="s">
        <v>6225</v>
      </c>
      <c r="J260" s="26" t="s">
        <v>6224</v>
      </c>
      <c r="K260" s="27"/>
      <c r="L260" s="28" t="s">
        <v>6223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1777</v>
      </c>
      <c r="C261" s="25" t="s">
        <v>1778</v>
      </c>
      <c r="D261" s="23" t="s">
        <v>1266</v>
      </c>
      <c r="E261" s="46">
        <v>46125</v>
      </c>
      <c r="F261" s="26" t="s">
        <v>6222</v>
      </c>
      <c r="G261" s="26" t="s">
        <v>6224</v>
      </c>
      <c r="H261" s="26" t="s">
        <v>6223</v>
      </c>
      <c r="I261" s="26" t="s">
        <v>6225</v>
      </c>
      <c r="J261" s="26" t="s">
        <v>6224</v>
      </c>
      <c r="K261" s="27"/>
      <c r="L261" s="28" t="s">
        <v>6223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1779</v>
      </c>
      <c r="C262" s="44" t="s">
        <v>1780</v>
      </c>
      <c r="D262" s="42" t="s">
        <v>1266</v>
      </c>
      <c r="E262" s="46">
        <v>46125</v>
      </c>
      <c r="F262" s="26" t="s">
        <v>6222</v>
      </c>
      <c r="G262" s="26" t="s">
        <v>6224</v>
      </c>
      <c r="H262" s="26" t="s">
        <v>6223</v>
      </c>
      <c r="I262" s="26" t="s">
        <v>6225</v>
      </c>
      <c r="J262" s="26" t="s">
        <v>6224</v>
      </c>
      <c r="K262" s="27"/>
      <c r="L262" s="28" t="s">
        <v>6223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1781</v>
      </c>
      <c r="C263" s="25" t="s">
        <v>1782</v>
      </c>
      <c r="D263" s="23" t="s">
        <v>1266</v>
      </c>
      <c r="E263" s="46">
        <v>46125</v>
      </c>
      <c r="F263" s="26" t="s">
        <v>6222</v>
      </c>
      <c r="G263" s="26" t="s">
        <v>6224</v>
      </c>
      <c r="H263" s="26" t="s">
        <v>6223</v>
      </c>
      <c r="I263" s="26" t="s">
        <v>6225</v>
      </c>
      <c r="J263" s="26" t="s">
        <v>6224</v>
      </c>
      <c r="K263" s="27"/>
      <c r="L263" s="28" t="s">
        <v>6223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1783</v>
      </c>
      <c r="C264" s="44" t="s">
        <v>1784</v>
      </c>
      <c r="D264" s="42" t="s">
        <v>1266</v>
      </c>
      <c r="E264" s="46">
        <v>46125</v>
      </c>
      <c r="F264" s="26" t="s">
        <v>6222</v>
      </c>
      <c r="G264" s="26" t="s">
        <v>6224</v>
      </c>
      <c r="H264" s="26" t="s">
        <v>6223</v>
      </c>
      <c r="I264" s="26" t="s">
        <v>6225</v>
      </c>
      <c r="J264" s="26" t="s">
        <v>6224</v>
      </c>
      <c r="K264" s="27"/>
      <c r="L264" s="28" t="s">
        <v>6223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1785</v>
      </c>
      <c r="C265" s="25" t="s">
        <v>1786</v>
      </c>
      <c r="D265" s="23" t="s">
        <v>1266</v>
      </c>
      <c r="E265" s="46">
        <v>46125</v>
      </c>
      <c r="F265" s="26" t="s">
        <v>6222</v>
      </c>
      <c r="G265" s="26" t="s">
        <v>6224</v>
      </c>
      <c r="H265" s="26" t="s">
        <v>6223</v>
      </c>
      <c r="I265" s="26" t="s">
        <v>6225</v>
      </c>
      <c r="J265" s="26" t="s">
        <v>6224</v>
      </c>
      <c r="K265" s="27"/>
      <c r="L265" s="28" t="s">
        <v>6223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1787</v>
      </c>
      <c r="C266" s="44" t="s">
        <v>1788</v>
      </c>
      <c r="D266" s="42" t="s">
        <v>1266</v>
      </c>
      <c r="E266" s="46">
        <v>46125</v>
      </c>
      <c r="F266" s="26" t="s">
        <v>6222</v>
      </c>
      <c r="G266" s="26" t="s">
        <v>6224</v>
      </c>
      <c r="H266" s="26" t="s">
        <v>6223</v>
      </c>
      <c r="I266" s="26" t="s">
        <v>6225</v>
      </c>
      <c r="J266" s="26" t="s">
        <v>6224</v>
      </c>
      <c r="K266" s="27"/>
      <c r="L266" s="28" t="s">
        <v>6223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1789</v>
      </c>
      <c r="C267" s="25" t="s">
        <v>1790</v>
      </c>
      <c r="D267" s="23" t="s">
        <v>1266</v>
      </c>
      <c r="E267" s="46">
        <v>46125</v>
      </c>
      <c r="F267" s="26" t="s">
        <v>6222</v>
      </c>
      <c r="G267" s="26" t="s">
        <v>6224</v>
      </c>
      <c r="H267" s="26" t="s">
        <v>6223</v>
      </c>
      <c r="I267" s="26" t="s">
        <v>6225</v>
      </c>
      <c r="J267" s="26" t="s">
        <v>6224</v>
      </c>
      <c r="K267" s="27"/>
      <c r="L267" s="28" t="s">
        <v>6223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1791</v>
      </c>
      <c r="C268" s="44" t="s">
        <v>1792</v>
      </c>
      <c r="D268" s="42" t="s">
        <v>1266</v>
      </c>
      <c r="E268" s="46">
        <v>46125</v>
      </c>
      <c r="F268" s="26" t="s">
        <v>6222</v>
      </c>
      <c r="G268" s="26" t="s">
        <v>6224</v>
      </c>
      <c r="H268" s="26" t="s">
        <v>6223</v>
      </c>
      <c r="I268" s="26" t="s">
        <v>6225</v>
      </c>
      <c r="J268" s="26" t="s">
        <v>6224</v>
      </c>
      <c r="K268" s="27"/>
      <c r="L268" s="28" t="s">
        <v>6223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1793</v>
      </c>
      <c r="C269" s="25" t="s">
        <v>1794</v>
      </c>
      <c r="D269" s="23" t="s">
        <v>1266</v>
      </c>
      <c r="E269" s="46">
        <v>46125</v>
      </c>
      <c r="F269" s="26" t="s">
        <v>6222</v>
      </c>
      <c r="G269" s="26" t="s">
        <v>6224</v>
      </c>
      <c r="H269" s="26" t="s">
        <v>6223</v>
      </c>
      <c r="I269" s="26" t="s">
        <v>6225</v>
      </c>
      <c r="J269" s="26" t="s">
        <v>6224</v>
      </c>
      <c r="K269" s="27"/>
      <c r="L269" s="28" t="s">
        <v>6223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1795</v>
      </c>
      <c r="C270" s="44" t="s">
        <v>1796</v>
      </c>
      <c r="D270" s="42" t="s">
        <v>1266</v>
      </c>
      <c r="E270" s="46">
        <v>46125</v>
      </c>
      <c r="F270" s="26" t="s">
        <v>6222</v>
      </c>
      <c r="G270" s="26" t="s">
        <v>6224</v>
      </c>
      <c r="H270" s="26" t="s">
        <v>6223</v>
      </c>
      <c r="I270" s="26" t="s">
        <v>6225</v>
      </c>
      <c r="J270" s="26" t="s">
        <v>6224</v>
      </c>
      <c r="K270" s="27"/>
      <c r="L270" s="28" t="s">
        <v>6223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1797</v>
      </c>
      <c r="C271" s="25" t="s">
        <v>1798</v>
      </c>
      <c r="D271" s="23" t="s">
        <v>1266</v>
      </c>
      <c r="E271" s="46">
        <v>46125</v>
      </c>
      <c r="F271" s="26" t="s">
        <v>6222</v>
      </c>
      <c r="G271" s="26" t="s">
        <v>6224</v>
      </c>
      <c r="H271" s="26" t="s">
        <v>6223</v>
      </c>
      <c r="I271" s="26" t="s">
        <v>6225</v>
      </c>
      <c r="J271" s="26" t="s">
        <v>6224</v>
      </c>
      <c r="K271" s="27"/>
      <c r="L271" s="28" t="s">
        <v>6223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1799</v>
      </c>
      <c r="C272" s="44" t="s">
        <v>1800</v>
      </c>
      <c r="D272" s="42" t="s">
        <v>1266</v>
      </c>
      <c r="E272" s="46">
        <v>46125</v>
      </c>
      <c r="F272" s="26" t="s">
        <v>6222</v>
      </c>
      <c r="G272" s="26" t="s">
        <v>6224</v>
      </c>
      <c r="H272" s="26" t="s">
        <v>6223</v>
      </c>
      <c r="I272" s="26" t="s">
        <v>6225</v>
      </c>
      <c r="J272" s="26" t="s">
        <v>6224</v>
      </c>
      <c r="K272" s="27"/>
      <c r="L272" s="28" t="s">
        <v>6223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1801</v>
      </c>
      <c r="C273" s="25" t="s">
        <v>1802</v>
      </c>
      <c r="D273" s="23" t="s">
        <v>1266</v>
      </c>
      <c r="E273" s="46">
        <v>46125</v>
      </c>
      <c r="F273" s="26" t="s">
        <v>6222</v>
      </c>
      <c r="G273" s="26" t="s">
        <v>6224</v>
      </c>
      <c r="H273" s="26" t="s">
        <v>6223</v>
      </c>
      <c r="I273" s="26" t="s">
        <v>6225</v>
      </c>
      <c r="J273" s="26" t="s">
        <v>6224</v>
      </c>
      <c r="K273" s="27"/>
      <c r="L273" s="28" t="s">
        <v>6223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1803</v>
      </c>
      <c r="C274" s="44" t="s">
        <v>1804</v>
      </c>
      <c r="D274" s="42" t="s">
        <v>1266</v>
      </c>
      <c r="E274" s="46">
        <v>46125</v>
      </c>
      <c r="F274" s="26" t="s">
        <v>6222</v>
      </c>
      <c r="G274" s="26" t="s">
        <v>6224</v>
      </c>
      <c r="H274" s="26" t="s">
        <v>6223</v>
      </c>
      <c r="I274" s="26" t="s">
        <v>6225</v>
      </c>
      <c r="J274" s="26" t="s">
        <v>6224</v>
      </c>
      <c r="K274" s="27"/>
      <c r="L274" s="28" t="s">
        <v>6223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1805</v>
      </c>
      <c r="C275" s="25" t="s">
        <v>1806</v>
      </c>
      <c r="D275" s="23" t="s">
        <v>1266</v>
      </c>
      <c r="E275" s="46">
        <v>46125</v>
      </c>
      <c r="F275" s="26" t="s">
        <v>6222</v>
      </c>
      <c r="G275" s="26" t="s">
        <v>6224</v>
      </c>
      <c r="H275" s="26" t="s">
        <v>6223</v>
      </c>
      <c r="I275" s="26" t="s">
        <v>6225</v>
      </c>
      <c r="J275" s="26" t="s">
        <v>6224</v>
      </c>
      <c r="K275" s="27"/>
      <c r="L275" s="28" t="s">
        <v>6223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1807</v>
      </c>
      <c r="C276" s="44" t="s">
        <v>1808</v>
      </c>
      <c r="D276" s="42" t="s">
        <v>1266</v>
      </c>
      <c r="E276" s="46">
        <v>46125</v>
      </c>
      <c r="F276" s="26" t="s">
        <v>6222</v>
      </c>
      <c r="G276" s="26" t="s">
        <v>6224</v>
      </c>
      <c r="H276" s="26" t="s">
        <v>6223</v>
      </c>
      <c r="I276" s="26" t="s">
        <v>6225</v>
      </c>
      <c r="J276" s="26" t="s">
        <v>6224</v>
      </c>
      <c r="K276" s="27"/>
      <c r="L276" s="28" t="s">
        <v>6223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1809</v>
      </c>
      <c r="C277" s="25" t="s">
        <v>1810</v>
      </c>
      <c r="D277" s="23" t="s">
        <v>1266</v>
      </c>
      <c r="E277" s="46">
        <v>46125</v>
      </c>
      <c r="F277" s="26" t="s">
        <v>6222</v>
      </c>
      <c r="G277" s="26" t="s">
        <v>6224</v>
      </c>
      <c r="H277" s="26" t="s">
        <v>6223</v>
      </c>
      <c r="I277" s="26" t="s">
        <v>6225</v>
      </c>
      <c r="J277" s="26" t="s">
        <v>6224</v>
      </c>
      <c r="K277" s="27"/>
      <c r="L277" s="28" t="s">
        <v>6223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1811</v>
      </c>
      <c r="C278" s="44" t="s">
        <v>1812</v>
      </c>
      <c r="D278" s="42" t="s">
        <v>1266</v>
      </c>
      <c r="E278" s="46">
        <v>46125</v>
      </c>
      <c r="F278" s="26" t="s">
        <v>6222</v>
      </c>
      <c r="G278" s="26" t="s">
        <v>6224</v>
      </c>
      <c r="H278" s="26" t="s">
        <v>6223</v>
      </c>
      <c r="I278" s="26" t="s">
        <v>6225</v>
      </c>
      <c r="J278" s="26" t="s">
        <v>6224</v>
      </c>
      <c r="K278" s="27"/>
      <c r="L278" s="28" t="s">
        <v>6223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1813</v>
      </c>
      <c r="C279" s="25" t="s">
        <v>1814</v>
      </c>
      <c r="D279" s="23" t="s">
        <v>1266</v>
      </c>
      <c r="E279" s="46">
        <v>46125</v>
      </c>
      <c r="F279" s="26" t="s">
        <v>6222</v>
      </c>
      <c r="G279" s="26" t="s">
        <v>6224</v>
      </c>
      <c r="H279" s="26" t="s">
        <v>6223</v>
      </c>
      <c r="I279" s="26" t="s">
        <v>6225</v>
      </c>
      <c r="J279" s="26" t="s">
        <v>6224</v>
      </c>
      <c r="K279" s="27"/>
      <c r="L279" s="28" t="s">
        <v>6223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1815</v>
      </c>
      <c r="C280" s="44" t="s">
        <v>1816</v>
      </c>
      <c r="D280" s="42" t="s">
        <v>1266</v>
      </c>
      <c r="E280" s="46">
        <v>46125</v>
      </c>
      <c r="F280" s="26" t="s">
        <v>6222</v>
      </c>
      <c r="G280" s="26" t="s">
        <v>6224</v>
      </c>
      <c r="H280" s="26" t="s">
        <v>6223</v>
      </c>
      <c r="I280" s="26" t="s">
        <v>6225</v>
      </c>
      <c r="J280" s="26" t="s">
        <v>6224</v>
      </c>
      <c r="K280" s="27"/>
      <c r="L280" s="28" t="s">
        <v>6223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1817</v>
      </c>
      <c r="C281" s="25" t="s">
        <v>1818</v>
      </c>
      <c r="D281" s="23" t="s">
        <v>1266</v>
      </c>
      <c r="E281" s="46">
        <v>46125</v>
      </c>
      <c r="F281" s="26" t="s">
        <v>6222</v>
      </c>
      <c r="G281" s="26" t="s">
        <v>6224</v>
      </c>
      <c r="H281" s="26" t="s">
        <v>6223</v>
      </c>
      <c r="I281" s="26" t="s">
        <v>6225</v>
      </c>
      <c r="J281" s="26" t="s">
        <v>6224</v>
      </c>
      <c r="K281" s="27"/>
      <c r="L281" s="28" t="s">
        <v>6223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1819</v>
      </c>
      <c r="C282" s="44" t="s">
        <v>1820</v>
      </c>
      <c r="D282" s="42" t="s">
        <v>1266</v>
      </c>
      <c r="E282" s="46">
        <v>46125</v>
      </c>
      <c r="F282" s="26" t="s">
        <v>6222</v>
      </c>
      <c r="G282" s="26" t="s">
        <v>6224</v>
      </c>
      <c r="H282" s="26" t="s">
        <v>6223</v>
      </c>
      <c r="I282" s="26" t="s">
        <v>6225</v>
      </c>
      <c r="J282" s="26" t="s">
        <v>6224</v>
      </c>
      <c r="K282" s="27"/>
      <c r="L282" s="28" t="s">
        <v>6223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1821</v>
      </c>
      <c r="C283" s="25" t="s">
        <v>1822</v>
      </c>
      <c r="D283" s="23" t="s">
        <v>1266</v>
      </c>
      <c r="E283" s="46">
        <v>46125</v>
      </c>
      <c r="F283" s="26" t="s">
        <v>6222</v>
      </c>
      <c r="G283" s="26" t="s">
        <v>6224</v>
      </c>
      <c r="H283" s="26" t="s">
        <v>6223</v>
      </c>
      <c r="I283" s="26" t="s">
        <v>6225</v>
      </c>
      <c r="J283" s="26" t="s">
        <v>6224</v>
      </c>
      <c r="K283" s="27"/>
      <c r="L283" s="28" t="s">
        <v>6223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1823</v>
      </c>
      <c r="C284" s="44" t="s">
        <v>1824</v>
      </c>
      <c r="D284" s="42" t="s">
        <v>1266</v>
      </c>
      <c r="E284" s="46">
        <v>46125</v>
      </c>
      <c r="F284" s="26" t="s">
        <v>6222</v>
      </c>
      <c r="G284" s="26" t="s">
        <v>6224</v>
      </c>
      <c r="H284" s="26" t="s">
        <v>6223</v>
      </c>
      <c r="I284" s="26" t="s">
        <v>6225</v>
      </c>
      <c r="J284" s="26" t="s">
        <v>6224</v>
      </c>
      <c r="K284" s="27"/>
      <c r="L284" s="28" t="s">
        <v>6223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1825</v>
      </c>
      <c r="C285" s="25" t="s">
        <v>1826</v>
      </c>
      <c r="D285" s="23" t="s">
        <v>1266</v>
      </c>
      <c r="E285" s="46">
        <v>46125</v>
      </c>
      <c r="F285" s="26" t="s">
        <v>6222</v>
      </c>
      <c r="G285" s="26" t="s">
        <v>6224</v>
      </c>
      <c r="H285" s="26" t="s">
        <v>6223</v>
      </c>
      <c r="I285" s="26" t="s">
        <v>6225</v>
      </c>
      <c r="J285" s="26" t="s">
        <v>6224</v>
      </c>
      <c r="K285" s="27"/>
      <c r="L285" s="28" t="s">
        <v>6223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1827</v>
      </c>
      <c r="C286" s="44" t="s">
        <v>1828</v>
      </c>
      <c r="D286" s="42" t="s">
        <v>1266</v>
      </c>
      <c r="E286" s="46">
        <v>46125</v>
      </c>
      <c r="F286" s="26" t="s">
        <v>6222</v>
      </c>
      <c r="G286" s="26" t="s">
        <v>6224</v>
      </c>
      <c r="H286" s="26" t="s">
        <v>6223</v>
      </c>
      <c r="I286" s="26" t="s">
        <v>6225</v>
      </c>
      <c r="J286" s="26" t="s">
        <v>6224</v>
      </c>
      <c r="K286" s="27"/>
      <c r="L286" s="28" t="s">
        <v>6223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1829</v>
      </c>
      <c r="C287" s="25" t="s">
        <v>1830</v>
      </c>
      <c r="D287" s="23" t="s">
        <v>1266</v>
      </c>
      <c r="E287" s="46">
        <v>46125</v>
      </c>
      <c r="F287" s="26" t="s">
        <v>6222</v>
      </c>
      <c r="G287" s="26" t="s">
        <v>6224</v>
      </c>
      <c r="H287" s="26" t="s">
        <v>6223</v>
      </c>
      <c r="I287" s="26" t="s">
        <v>6225</v>
      </c>
      <c r="J287" s="26" t="s">
        <v>6224</v>
      </c>
      <c r="K287" s="27"/>
      <c r="L287" s="28" t="s">
        <v>6223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1831</v>
      </c>
      <c r="C288" s="44" t="s">
        <v>1832</v>
      </c>
      <c r="D288" s="42" t="s">
        <v>1266</v>
      </c>
      <c r="E288" s="46">
        <v>46125</v>
      </c>
      <c r="F288" s="26" t="s">
        <v>6222</v>
      </c>
      <c r="G288" s="26" t="s">
        <v>6224</v>
      </c>
      <c r="H288" s="26" t="s">
        <v>6223</v>
      </c>
      <c r="I288" s="26" t="s">
        <v>6225</v>
      </c>
      <c r="J288" s="26" t="s">
        <v>6224</v>
      </c>
      <c r="K288" s="27"/>
      <c r="L288" s="28" t="s">
        <v>6223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1833</v>
      </c>
      <c r="C289" s="25" t="s">
        <v>1834</v>
      </c>
      <c r="D289" s="23" t="s">
        <v>1266</v>
      </c>
      <c r="E289" s="46">
        <v>46125</v>
      </c>
      <c r="F289" s="26" t="s">
        <v>6222</v>
      </c>
      <c r="G289" s="26" t="s">
        <v>6224</v>
      </c>
      <c r="H289" s="26" t="s">
        <v>6223</v>
      </c>
      <c r="I289" s="26" t="s">
        <v>6225</v>
      </c>
      <c r="J289" s="26" t="s">
        <v>6224</v>
      </c>
      <c r="K289" s="27"/>
      <c r="L289" s="28" t="s">
        <v>6223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1835</v>
      </c>
      <c r="C290" s="44" t="s">
        <v>1836</v>
      </c>
      <c r="D290" s="42" t="s">
        <v>1266</v>
      </c>
      <c r="E290" s="46">
        <v>46125</v>
      </c>
      <c r="F290" s="26" t="s">
        <v>6222</v>
      </c>
      <c r="G290" s="26" t="s">
        <v>6224</v>
      </c>
      <c r="H290" s="26" t="s">
        <v>6223</v>
      </c>
      <c r="I290" s="26" t="s">
        <v>6225</v>
      </c>
      <c r="J290" s="26" t="s">
        <v>6224</v>
      </c>
      <c r="K290" s="27"/>
      <c r="L290" s="28" t="s">
        <v>6223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1837</v>
      </c>
      <c r="C291" s="25" t="s">
        <v>1838</v>
      </c>
      <c r="D291" s="23" t="s">
        <v>1266</v>
      </c>
      <c r="E291" s="46">
        <v>46125</v>
      </c>
      <c r="F291" s="26" t="s">
        <v>6222</v>
      </c>
      <c r="G291" s="26" t="s">
        <v>6224</v>
      </c>
      <c r="H291" s="26" t="s">
        <v>6223</v>
      </c>
      <c r="I291" s="26" t="s">
        <v>6225</v>
      </c>
      <c r="J291" s="26" t="s">
        <v>6224</v>
      </c>
      <c r="K291" s="27"/>
      <c r="L291" s="28" t="s">
        <v>6223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1839</v>
      </c>
      <c r="C292" s="44" t="s">
        <v>1840</v>
      </c>
      <c r="D292" s="42" t="s">
        <v>1266</v>
      </c>
      <c r="E292" s="46">
        <v>46125</v>
      </c>
      <c r="F292" s="26" t="s">
        <v>6222</v>
      </c>
      <c r="G292" s="26" t="s">
        <v>6224</v>
      </c>
      <c r="H292" s="26" t="s">
        <v>6223</v>
      </c>
      <c r="I292" s="26" t="s">
        <v>6225</v>
      </c>
      <c r="J292" s="26" t="s">
        <v>6224</v>
      </c>
      <c r="K292" s="27"/>
      <c r="L292" s="28" t="s">
        <v>6223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1841</v>
      </c>
      <c r="C293" s="25" t="s">
        <v>1842</v>
      </c>
      <c r="D293" s="23" t="s">
        <v>1266</v>
      </c>
      <c r="E293" s="46">
        <v>46125</v>
      </c>
      <c r="F293" s="26" t="s">
        <v>6222</v>
      </c>
      <c r="G293" s="26" t="s">
        <v>6224</v>
      </c>
      <c r="H293" s="26" t="s">
        <v>6223</v>
      </c>
      <c r="I293" s="26" t="s">
        <v>6225</v>
      </c>
      <c r="J293" s="26" t="s">
        <v>6224</v>
      </c>
      <c r="K293" s="27"/>
      <c r="L293" s="28" t="s">
        <v>6223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1843</v>
      </c>
      <c r="C294" s="44" t="s">
        <v>1844</v>
      </c>
      <c r="D294" s="42" t="s">
        <v>1266</v>
      </c>
      <c r="E294" s="46">
        <v>46125</v>
      </c>
      <c r="F294" s="26" t="s">
        <v>6222</v>
      </c>
      <c r="G294" s="26" t="s">
        <v>6224</v>
      </c>
      <c r="H294" s="26" t="s">
        <v>6223</v>
      </c>
      <c r="I294" s="26" t="s">
        <v>6225</v>
      </c>
      <c r="J294" s="26" t="s">
        <v>6224</v>
      </c>
      <c r="K294" s="27"/>
      <c r="L294" s="28" t="s">
        <v>6223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1845</v>
      </c>
      <c r="C295" s="25" t="s">
        <v>1846</v>
      </c>
      <c r="D295" s="23" t="s">
        <v>1266</v>
      </c>
      <c r="E295" s="46">
        <v>46125</v>
      </c>
      <c r="F295" s="26" t="s">
        <v>6222</v>
      </c>
      <c r="G295" s="26" t="s">
        <v>6224</v>
      </c>
      <c r="H295" s="26" t="s">
        <v>6223</v>
      </c>
      <c r="I295" s="26" t="s">
        <v>6225</v>
      </c>
      <c r="J295" s="26" t="s">
        <v>6224</v>
      </c>
      <c r="K295" s="27"/>
      <c r="L295" s="28" t="s">
        <v>6223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1847</v>
      </c>
      <c r="C296" s="44" t="s">
        <v>1848</v>
      </c>
      <c r="D296" s="42" t="s">
        <v>1266</v>
      </c>
      <c r="E296" s="46">
        <v>46125</v>
      </c>
      <c r="F296" s="26" t="s">
        <v>6222</v>
      </c>
      <c r="G296" s="26" t="s">
        <v>6224</v>
      </c>
      <c r="H296" s="26" t="s">
        <v>6223</v>
      </c>
      <c r="I296" s="26" t="s">
        <v>6225</v>
      </c>
      <c r="J296" s="26" t="s">
        <v>6224</v>
      </c>
      <c r="K296" s="27"/>
      <c r="L296" s="28" t="s">
        <v>6223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1849</v>
      </c>
      <c r="C297" s="25" t="s">
        <v>1850</v>
      </c>
      <c r="D297" s="23" t="s">
        <v>1266</v>
      </c>
      <c r="E297" s="46">
        <v>46125</v>
      </c>
      <c r="F297" s="26" t="s">
        <v>6222</v>
      </c>
      <c r="G297" s="26" t="s">
        <v>6223</v>
      </c>
      <c r="H297" s="26" t="s">
        <v>6223</v>
      </c>
      <c r="I297" s="26" t="s">
        <v>6228</v>
      </c>
      <c r="J297" s="26" t="s">
        <v>6223</v>
      </c>
      <c r="K297" s="27"/>
      <c r="L297" s="28" t="s">
        <v>6224</v>
      </c>
      <c r="M297" s="29" t="str">
        <f t="shared" si="20"/>
        <v>⚠ Missing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1851</v>
      </c>
      <c r="C298" s="44" t="s">
        <v>1852</v>
      </c>
      <c r="D298" s="42" t="s">
        <v>1266</v>
      </c>
      <c r="E298" s="46">
        <v>46125</v>
      </c>
      <c r="F298" s="26" t="s">
        <v>6222</v>
      </c>
      <c r="G298" s="26" t="s">
        <v>6223</v>
      </c>
      <c r="H298" s="26" t="s">
        <v>6223</v>
      </c>
      <c r="I298" s="26" t="s">
        <v>6228</v>
      </c>
      <c r="J298" s="26" t="s">
        <v>6223</v>
      </c>
      <c r="K298" s="27"/>
      <c r="L298" s="28" t="s">
        <v>6224</v>
      </c>
      <c r="M298" s="29" t="str">
        <f t="shared" si="20"/>
        <v>⚠ Missing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1853</v>
      </c>
      <c r="C299" s="25" t="s">
        <v>1854</v>
      </c>
      <c r="D299" s="23" t="s">
        <v>1266</v>
      </c>
      <c r="E299" s="46">
        <v>46125</v>
      </c>
      <c r="F299" s="26" t="s">
        <v>6222</v>
      </c>
      <c r="G299" s="26" t="s">
        <v>6223</v>
      </c>
      <c r="H299" s="26" t="s">
        <v>6223</v>
      </c>
      <c r="I299" s="26" t="s">
        <v>6228</v>
      </c>
      <c r="J299" s="26" t="s">
        <v>6223</v>
      </c>
      <c r="K299" s="27"/>
      <c r="L299" s="28" t="s">
        <v>6224</v>
      </c>
      <c r="M299" s="29" t="str">
        <f t="shared" si="20"/>
        <v>⚠ Missing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1855</v>
      </c>
      <c r="C300" s="44" t="s">
        <v>1856</v>
      </c>
      <c r="D300" s="42" t="s">
        <v>1266</v>
      </c>
      <c r="E300" s="46">
        <v>46125</v>
      </c>
      <c r="F300" s="26" t="s">
        <v>6222</v>
      </c>
      <c r="G300" s="26" t="s">
        <v>6224</v>
      </c>
      <c r="H300" s="26" t="s">
        <v>6223</v>
      </c>
      <c r="I300" s="26" t="s">
        <v>6225</v>
      </c>
      <c r="J300" s="26" t="s">
        <v>6224</v>
      </c>
      <c r="K300" s="27"/>
      <c r="L300" s="28" t="s">
        <v>6223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1857</v>
      </c>
      <c r="C301" s="25" t="s">
        <v>1858</v>
      </c>
      <c r="D301" s="23" t="s">
        <v>1266</v>
      </c>
      <c r="E301" s="46">
        <v>46125</v>
      </c>
      <c r="F301" s="26" t="s">
        <v>6222</v>
      </c>
      <c r="G301" s="26" t="s">
        <v>6224</v>
      </c>
      <c r="H301" s="26" t="s">
        <v>6223</v>
      </c>
      <c r="I301" s="26" t="s">
        <v>6225</v>
      </c>
      <c r="J301" s="26" t="s">
        <v>6224</v>
      </c>
      <c r="K301" s="27"/>
      <c r="L301" s="28" t="s">
        <v>6223</v>
      </c>
      <c r="M301" s="29" t="str">
        <f t="shared" si="20"/>
        <v>✓ OK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1859</v>
      </c>
      <c r="C302" s="44" t="s">
        <v>1860</v>
      </c>
      <c r="D302" s="42" t="s">
        <v>1266</v>
      </c>
      <c r="E302" s="46">
        <v>46125</v>
      </c>
      <c r="F302" s="26" t="s">
        <v>6222</v>
      </c>
      <c r="G302" s="26" t="s">
        <v>6224</v>
      </c>
      <c r="H302" s="26" t="s">
        <v>6223</v>
      </c>
      <c r="I302" s="26" t="s">
        <v>6225</v>
      </c>
      <c r="J302" s="26" t="s">
        <v>6224</v>
      </c>
      <c r="K302" s="27"/>
      <c r="L302" s="28" t="s">
        <v>6223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1861</v>
      </c>
      <c r="C303" s="25" t="s">
        <v>1862</v>
      </c>
      <c r="D303" s="23" t="s">
        <v>1266</v>
      </c>
      <c r="E303" s="46">
        <v>46125</v>
      </c>
      <c r="F303" s="26" t="s">
        <v>6222</v>
      </c>
      <c r="G303" s="26" t="s">
        <v>6224</v>
      </c>
      <c r="H303" s="26" t="s">
        <v>6223</v>
      </c>
      <c r="I303" s="26" t="s">
        <v>6225</v>
      </c>
      <c r="J303" s="26" t="s">
        <v>6224</v>
      </c>
      <c r="K303" s="27"/>
      <c r="L303" s="28" t="s">
        <v>6223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1863</v>
      </c>
      <c r="C304" s="44" t="s">
        <v>1864</v>
      </c>
      <c r="D304" s="42" t="s">
        <v>1266</v>
      </c>
      <c r="E304" s="46">
        <v>46125</v>
      </c>
      <c r="F304" s="26" t="s">
        <v>6222</v>
      </c>
      <c r="G304" s="26" t="s">
        <v>6224</v>
      </c>
      <c r="H304" s="26" t="s">
        <v>6223</v>
      </c>
      <c r="I304" s="26" t="s">
        <v>6225</v>
      </c>
      <c r="J304" s="26" t="s">
        <v>6224</v>
      </c>
      <c r="K304" s="27"/>
      <c r="L304" s="28" t="s">
        <v>6223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1865</v>
      </c>
      <c r="C305" s="25" t="s">
        <v>1866</v>
      </c>
      <c r="D305" s="23" t="s">
        <v>1266</v>
      </c>
      <c r="E305" s="46">
        <v>46125</v>
      </c>
      <c r="F305" s="26" t="s">
        <v>6222</v>
      </c>
      <c r="G305" s="26" t="s">
        <v>6224</v>
      </c>
      <c r="H305" s="26" t="s">
        <v>6223</v>
      </c>
      <c r="I305" s="26" t="s">
        <v>6225</v>
      </c>
      <c r="J305" s="26" t="s">
        <v>6224</v>
      </c>
      <c r="K305" s="27"/>
      <c r="L305" s="28" t="s">
        <v>6223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1867</v>
      </c>
      <c r="C306" s="44" t="s">
        <v>1868</v>
      </c>
      <c r="D306" s="42" t="s">
        <v>1266</v>
      </c>
      <c r="E306" s="46">
        <v>46125</v>
      </c>
      <c r="F306" s="26" t="s">
        <v>6222</v>
      </c>
      <c r="G306" s="26" t="s">
        <v>6224</v>
      </c>
      <c r="H306" s="26" t="s">
        <v>6223</v>
      </c>
      <c r="I306" s="26" t="s">
        <v>6225</v>
      </c>
      <c r="J306" s="26" t="s">
        <v>6224</v>
      </c>
      <c r="K306" s="27"/>
      <c r="L306" s="28" t="s">
        <v>6223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1869</v>
      </c>
      <c r="C307" s="25" t="s">
        <v>1870</v>
      </c>
      <c r="D307" s="23" t="s">
        <v>1266</v>
      </c>
      <c r="E307" s="46">
        <v>46125</v>
      </c>
      <c r="F307" s="26" t="s">
        <v>6222</v>
      </c>
      <c r="G307" s="26" t="s">
        <v>6224</v>
      </c>
      <c r="H307" s="26" t="s">
        <v>6223</v>
      </c>
      <c r="I307" s="26" t="s">
        <v>6225</v>
      </c>
      <c r="J307" s="26" t="s">
        <v>6224</v>
      </c>
      <c r="K307" s="27"/>
      <c r="L307" s="28" t="s">
        <v>6223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1871</v>
      </c>
      <c r="C308" s="44" t="s">
        <v>1872</v>
      </c>
      <c r="D308" s="42" t="s">
        <v>1266</v>
      </c>
      <c r="E308" s="46">
        <v>46125</v>
      </c>
      <c r="F308" s="26" t="s">
        <v>6222</v>
      </c>
      <c r="G308" s="26" t="s">
        <v>6224</v>
      </c>
      <c r="H308" s="26" t="s">
        <v>6223</v>
      </c>
      <c r="I308" s="26" t="s">
        <v>6225</v>
      </c>
      <c r="J308" s="26" t="s">
        <v>6224</v>
      </c>
      <c r="K308" s="27"/>
      <c r="L308" s="28" t="s">
        <v>6223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1873</v>
      </c>
      <c r="C309" s="25" t="s">
        <v>1874</v>
      </c>
      <c r="D309" s="23" t="s">
        <v>1266</v>
      </c>
      <c r="E309" s="46">
        <v>46125</v>
      </c>
      <c r="F309" s="26" t="s">
        <v>6222</v>
      </c>
      <c r="G309" s="26" t="s">
        <v>6224</v>
      </c>
      <c r="H309" s="26" t="s">
        <v>6223</v>
      </c>
      <c r="I309" s="26" t="s">
        <v>6225</v>
      </c>
      <c r="J309" s="26" t="s">
        <v>6224</v>
      </c>
      <c r="K309" s="27"/>
      <c r="L309" s="28" t="s">
        <v>6223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1875</v>
      </c>
      <c r="C310" s="44" t="s">
        <v>1876</v>
      </c>
      <c r="D310" s="42" t="s">
        <v>1266</v>
      </c>
      <c r="E310" s="46">
        <v>46125</v>
      </c>
      <c r="F310" s="26" t="s">
        <v>6222</v>
      </c>
      <c r="G310" s="26" t="s">
        <v>6224</v>
      </c>
      <c r="H310" s="26" t="s">
        <v>6223</v>
      </c>
      <c r="I310" s="26" t="s">
        <v>6225</v>
      </c>
      <c r="J310" s="26" t="s">
        <v>6224</v>
      </c>
      <c r="K310" s="27"/>
      <c r="L310" s="28" t="s">
        <v>6223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1877</v>
      </c>
      <c r="C311" s="25" t="s">
        <v>1878</v>
      </c>
      <c r="D311" s="23" t="s">
        <v>1266</v>
      </c>
      <c r="E311" s="46">
        <v>46125</v>
      </c>
      <c r="F311" s="26" t="s">
        <v>6222</v>
      </c>
      <c r="G311" s="26" t="s">
        <v>6224</v>
      </c>
      <c r="H311" s="26" t="s">
        <v>6223</v>
      </c>
      <c r="I311" s="26" t="s">
        <v>6225</v>
      </c>
      <c r="J311" s="26" t="s">
        <v>6224</v>
      </c>
      <c r="K311" s="27"/>
      <c r="L311" s="28" t="s">
        <v>6223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1879</v>
      </c>
      <c r="C312" s="44" t="s">
        <v>1880</v>
      </c>
      <c r="D312" s="42" t="s">
        <v>1266</v>
      </c>
      <c r="E312" s="46">
        <v>46125</v>
      </c>
      <c r="F312" s="26" t="s">
        <v>6222</v>
      </c>
      <c r="G312" s="26" t="s">
        <v>6224</v>
      </c>
      <c r="H312" s="26" t="s">
        <v>6223</v>
      </c>
      <c r="I312" s="26" t="s">
        <v>6225</v>
      </c>
      <c r="J312" s="26" t="s">
        <v>6224</v>
      </c>
      <c r="K312" s="27"/>
      <c r="L312" s="28" t="s">
        <v>6223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1881</v>
      </c>
      <c r="C313" s="25" t="s">
        <v>1882</v>
      </c>
      <c r="D313" s="23" t="s">
        <v>1266</v>
      </c>
      <c r="E313" s="46">
        <v>46125</v>
      </c>
      <c r="F313" s="26" t="s">
        <v>6222</v>
      </c>
      <c r="G313" s="26" t="s">
        <v>6224</v>
      </c>
      <c r="H313" s="26" t="s">
        <v>6223</v>
      </c>
      <c r="I313" s="26" t="s">
        <v>6225</v>
      </c>
      <c r="J313" s="26" t="s">
        <v>6224</v>
      </c>
      <c r="K313" s="27"/>
      <c r="L313" s="28" t="s">
        <v>6223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1883</v>
      </c>
      <c r="C314" s="44" t="s">
        <v>1884</v>
      </c>
      <c r="D314" s="42" t="s">
        <v>1266</v>
      </c>
      <c r="E314" s="46">
        <v>46125</v>
      </c>
      <c r="F314" s="26" t="s">
        <v>6222</v>
      </c>
      <c r="G314" s="26" t="s">
        <v>6224</v>
      </c>
      <c r="H314" s="26" t="s">
        <v>6223</v>
      </c>
      <c r="I314" s="26" t="s">
        <v>6225</v>
      </c>
      <c r="J314" s="26" t="s">
        <v>6224</v>
      </c>
      <c r="K314" s="27"/>
      <c r="L314" s="28" t="s">
        <v>6223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1885</v>
      </c>
      <c r="C315" s="25" t="s">
        <v>1886</v>
      </c>
      <c r="D315" s="23" t="s">
        <v>1266</v>
      </c>
      <c r="E315" s="46">
        <v>46125</v>
      </c>
      <c r="F315" s="26" t="s">
        <v>6222</v>
      </c>
      <c r="G315" s="26" t="s">
        <v>6224</v>
      </c>
      <c r="H315" s="26" t="s">
        <v>6223</v>
      </c>
      <c r="I315" s="26" t="s">
        <v>6225</v>
      </c>
      <c r="J315" s="26" t="s">
        <v>6224</v>
      </c>
      <c r="K315" s="27"/>
      <c r="L315" s="28" t="s">
        <v>6223</v>
      </c>
      <c r="M315" s="29" t="str">
        <f t="shared" si="20"/>
        <v>✓ OK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1887</v>
      </c>
      <c r="C316" s="44" t="s">
        <v>1888</v>
      </c>
      <c r="D316" s="42" t="s">
        <v>1266</v>
      </c>
      <c r="E316" s="46">
        <v>46125</v>
      </c>
      <c r="F316" s="26" t="s">
        <v>6222</v>
      </c>
      <c r="G316" s="26" t="s">
        <v>6224</v>
      </c>
      <c r="H316" s="26" t="s">
        <v>6223</v>
      </c>
      <c r="I316" s="26" t="s">
        <v>6225</v>
      </c>
      <c r="J316" s="26" t="s">
        <v>6224</v>
      </c>
      <c r="K316" s="27"/>
      <c r="L316" s="28" t="s">
        <v>6223</v>
      </c>
      <c r="M316" s="29" t="str">
        <f t="shared" si="20"/>
        <v>✓ OK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1889</v>
      </c>
      <c r="C317" s="25" t="s">
        <v>1890</v>
      </c>
      <c r="D317" s="23" t="s">
        <v>1266</v>
      </c>
      <c r="E317" s="46">
        <v>46125</v>
      </c>
      <c r="F317" s="26" t="s">
        <v>6222</v>
      </c>
      <c r="G317" s="26" t="s">
        <v>6224</v>
      </c>
      <c r="H317" s="26" t="s">
        <v>6223</v>
      </c>
      <c r="I317" s="26" t="s">
        <v>6225</v>
      </c>
      <c r="J317" s="26" t="s">
        <v>6224</v>
      </c>
      <c r="K317" s="27"/>
      <c r="L317" s="28" t="s">
        <v>6223</v>
      </c>
      <c r="M317" s="29" t="str">
        <f t="shared" si="20"/>
        <v>✓ OK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1891</v>
      </c>
      <c r="C318" s="44" t="s">
        <v>1892</v>
      </c>
      <c r="D318" s="42" t="s">
        <v>1266</v>
      </c>
      <c r="E318" s="46">
        <v>46125</v>
      </c>
      <c r="F318" s="26" t="s">
        <v>6222</v>
      </c>
      <c r="G318" s="26" t="s">
        <v>6224</v>
      </c>
      <c r="H318" s="26" t="s">
        <v>6223</v>
      </c>
      <c r="I318" s="26" t="s">
        <v>6225</v>
      </c>
      <c r="J318" s="26" t="s">
        <v>6224</v>
      </c>
      <c r="K318" s="27"/>
      <c r="L318" s="28" t="s">
        <v>6223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1893</v>
      </c>
      <c r="C319" s="25" t="s">
        <v>1894</v>
      </c>
      <c r="D319" s="23" t="s">
        <v>1266</v>
      </c>
      <c r="E319" s="46">
        <v>46125</v>
      </c>
      <c r="F319" s="26" t="s">
        <v>6222</v>
      </c>
      <c r="G319" s="26" t="s">
        <v>6224</v>
      </c>
      <c r="H319" s="26" t="s">
        <v>6223</v>
      </c>
      <c r="I319" s="26" t="s">
        <v>6225</v>
      </c>
      <c r="J319" s="26" t="s">
        <v>6224</v>
      </c>
      <c r="K319" s="27"/>
      <c r="L319" s="28" t="s">
        <v>6223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1895</v>
      </c>
      <c r="C320" s="44" t="s">
        <v>1896</v>
      </c>
      <c r="D320" s="42" t="s">
        <v>1266</v>
      </c>
      <c r="E320" s="46">
        <v>46125</v>
      </c>
      <c r="F320" s="26" t="s">
        <v>6222</v>
      </c>
      <c r="G320" s="26" t="s">
        <v>6224</v>
      </c>
      <c r="H320" s="26" t="s">
        <v>6223</v>
      </c>
      <c r="I320" s="26" t="s">
        <v>6225</v>
      </c>
      <c r="J320" s="26" t="s">
        <v>6224</v>
      </c>
      <c r="K320" s="27"/>
      <c r="L320" s="28" t="s">
        <v>6223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1897</v>
      </c>
      <c r="C321" s="25" t="s">
        <v>1898</v>
      </c>
      <c r="D321" s="23" t="s">
        <v>1266</v>
      </c>
      <c r="E321" s="46">
        <v>46125</v>
      </c>
      <c r="F321" s="26" t="s">
        <v>6222</v>
      </c>
      <c r="G321" s="26" t="s">
        <v>6224</v>
      </c>
      <c r="H321" s="26" t="s">
        <v>6223</v>
      </c>
      <c r="I321" s="26" t="s">
        <v>6225</v>
      </c>
      <c r="J321" s="26" t="s">
        <v>6224</v>
      </c>
      <c r="K321" s="27"/>
      <c r="L321" s="28" t="s">
        <v>6223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1899</v>
      </c>
      <c r="C322" s="44" t="s">
        <v>1900</v>
      </c>
      <c r="D322" s="42" t="s">
        <v>1266</v>
      </c>
      <c r="E322" s="46">
        <v>46125</v>
      </c>
      <c r="F322" s="26" t="s">
        <v>6222</v>
      </c>
      <c r="G322" s="26" t="s">
        <v>6224</v>
      </c>
      <c r="H322" s="26" t="s">
        <v>6223</v>
      </c>
      <c r="I322" s="26" t="s">
        <v>6225</v>
      </c>
      <c r="J322" s="26" t="s">
        <v>6224</v>
      </c>
      <c r="K322" s="27"/>
      <c r="L322" s="28" t="s">
        <v>6223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1901</v>
      </c>
      <c r="C323" s="25" t="s">
        <v>1902</v>
      </c>
      <c r="D323" s="23" t="s">
        <v>1266</v>
      </c>
      <c r="E323" s="46">
        <v>46125</v>
      </c>
      <c r="F323" s="26" t="s">
        <v>6222</v>
      </c>
      <c r="G323" s="26" t="s">
        <v>6224</v>
      </c>
      <c r="H323" s="26" t="s">
        <v>6223</v>
      </c>
      <c r="I323" s="26" t="s">
        <v>6225</v>
      </c>
      <c r="J323" s="26" t="s">
        <v>6224</v>
      </c>
      <c r="K323" s="27"/>
      <c r="L323" s="28" t="s">
        <v>6223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1903</v>
      </c>
      <c r="C324" s="44" t="s">
        <v>1904</v>
      </c>
      <c r="D324" s="42" t="s">
        <v>1266</v>
      </c>
      <c r="E324" s="46">
        <v>46125</v>
      </c>
      <c r="F324" s="26" t="s">
        <v>6222</v>
      </c>
      <c r="G324" s="26" t="s">
        <v>6224</v>
      </c>
      <c r="H324" s="26" t="s">
        <v>6223</v>
      </c>
      <c r="I324" s="26" t="s">
        <v>6225</v>
      </c>
      <c r="J324" s="26" t="s">
        <v>6224</v>
      </c>
      <c r="K324" s="27"/>
      <c r="L324" s="28" t="s">
        <v>6223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1905</v>
      </c>
      <c r="C325" s="25" t="s">
        <v>1906</v>
      </c>
      <c r="D325" s="23" t="s">
        <v>1266</v>
      </c>
      <c r="E325" s="46">
        <v>46125</v>
      </c>
      <c r="F325" s="26" t="s">
        <v>6222</v>
      </c>
      <c r="G325" s="26" t="s">
        <v>6224</v>
      </c>
      <c r="H325" s="26" t="s">
        <v>6223</v>
      </c>
      <c r="I325" s="26" t="s">
        <v>6225</v>
      </c>
      <c r="J325" s="26" t="s">
        <v>6224</v>
      </c>
      <c r="K325" s="27"/>
      <c r="L325" s="28" t="s">
        <v>6223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1907</v>
      </c>
      <c r="C326" s="44" t="s">
        <v>1908</v>
      </c>
      <c r="D326" s="42" t="s">
        <v>1266</v>
      </c>
      <c r="E326" s="46">
        <v>46125</v>
      </c>
      <c r="F326" s="26" t="s">
        <v>6222</v>
      </c>
      <c r="G326" s="26" t="s">
        <v>6224</v>
      </c>
      <c r="H326" s="26" t="s">
        <v>6223</v>
      </c>
      <c r="I326" s="26" t="s">
        <v>6225</v>
      </c>
      <c r="J326" s="26" t="s">
        <v>6224</v>
      </c>
      <c r="K326" s="27"/>
      <c r="L326" s="28" t="s">
        <v>6223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1909</v>
      </c>
      <c r="C327" s="25" t="s">
        <v>1910</v>
      </c>
      <c r="D327" s="23" t="s">
        <v>1266</v>
      </c>
      <c r="E327" s="46">
        <v>46125</v>
      </c>
      <c r="F327" s="26" t="s">
        <v>6222</v>
      </c>
      <c r="G327" s="26" t="s">
        <v>6224</v>
      </c>
      <c r="H327" s="26" t="s">
        <v>6223</v>
      </c>
      <c r="I327" s="26" t="s">
        <v>6225</v>
      </c>
      <c r="J327" s="26" t="s">
        <v>6224</v>
      </c>
      <c r="K327" s="27"/>
      <c r="L327" s="28" t="s">
        <v>6223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1911</v>
      </c>
      <c r="C328" s="44" t="s">
        <v>1912</v>
      </c>
      <c r="D328" s="42" t="s">
        <v>1266</v>
      </c>
      <c r="E328" s="46">
        <v>46125</v>
      </c>
      <c r="F328" s="26" t="s">
        <v>6222</v>
      </c>
      <c r="G328" s="26" t="s">
        <v>6224</v>
      </c>
      <c r="H328" s="26" t="s">
        <v>6223</v>
      </c>
      <c r="I328" s="26" t="s">
        <v>6225</v>
      </c>
      <c r="J328" s="26" t="s">
        <v>6224</v>
      </c>
      <c r="K328" s="27"/>
      <c r="L328" s="28" t="s">
        <v>6223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1913</v>
      </c>
      <c r="C329" s="25" t="s">
        <v>1914</v>
      </c>
      <c r="D329" s="23" t="s">
        <v>1266</v>
      </c>
      <c r="E329" s="46">
        <v>46125</v>
      </c>
      <c r="F329" s="26" t="s">
        <v>6222</v>
      </c>
      <c r="G329" s="26" t="s">
        <v>6224</v>
      </c>
      <c r="H329" s="26" t="s">
        <v>6223</v>
      </c>
      <c r="I329" s="26" t="s">
        <v>6225</v>
      </c>
      <c r="J329" s="26" t="s">
        <v>6224</v>
      </c>
      <c r="K329" s="27"/>
      <c r="L329" s="28" t="s">
        <v>6223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1915</v>
      </c>
      <c r="C330" s="44" t="s">
        <v>1916</v>
      </c>
      <c r="D330" s="42" t="s">
        <v>1266</v>
      </c>
      <c r="E330" s="46">
        <v>46125</v>
      </c>
      <c r="F330" s="26" t="s">
        <v>6222</v>
      </c>
      <c r="G330" s="26" t="s">
        <v>6224</v>
      </c>
      <c r="H330" s="26" t="s">
        <v>6223</v>
      </c>
      <c r="I330" s="26" t="s">
        <v>6225</v>
      </c>
      <c r="J330" s="26" t="s">
        <v>6224</v>
      </c>
      <c r="K330" s="27"/>
      <c r="L330" s="28" t="s">
        <v>6223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1917</v>
      </c>
      <c r="C331" s="25" t="s">
        <v>1918</v>
      </c>
      <c r="D331" s="23" t="s">
        <v>1266</v>
      </c>
      <c r="E331" s="46">
        <v>46125</v>
      </c>
      <c r="F331" s="26" t="s">
        <v>6222</v>
      </c>
      <c r="G331" s="26" t="s">
        <v>6224</v>
      </c>
      <c r="H331" s="26" t="s">
        <v>6223</v>
      </c>
      <c r="I331" s="26" t="s">
        <v>6225</v>
      </c>
      <c r="J331" s="26" t="s">
        <v>6224</v>
      </c>
      <c r="K331" s="27"/>
      <c r="L331" s="28" t="s">
        <v>6223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1919</v>
      </c>
      <c r="C332" s="44" t="s">
        <v>1920</v>
      </c>
      <c r="D332" s="42" t="s">
        <v>1266</v>
      </c>
      <c r="E332" s="46">
        <v>46125</v>
      </c>
      <c r="F332" s="26" t="s">
        <v>6222</v>
      </c>
      <c r="G332" s="26" t="s">
        <v>6224</v>
      </c>
      <c r="H332" s="26" t="s">
        <v>6223</v>
      </c>
      <c r="I332" s="26" t="s">
        <v>6225</v>
      </c>
      <c r="J332" s="26" t="s">
        <v>6224</v>
      </c>
      <c r="K332" s="27"/>
      <c r="L332" s="28" t="s">
        <v>6223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1921</v>
      </c>
      <c r="C333" s="25" t="s">
        <v>1922</v>
      </c>
      <c r="D333" s="23" t="s">
        <v>1266</v>
      </c>
      <c r="E333" s="46">
        <v>46125</v>
      </c>
      <c r="F333" s="26" t="s">
        <v>6222</v>
      </c>
      <c r="G333" s="26" t="s">
        <v>6224</v>
      </c>
      <c r="H333" s="26" t="s">
        <v>6223</v>
      </c>
      <c r="I333" s="26" t="s">
        <v>6225</v>
      </c>
      <c r="J333" s="26" t="s">
        <v>6224</v>
      </c>
      <c r="K333" s="27"/>
      <c r="L333" s="28" t="s">
        <v>6223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1923</v>
      </c>
      <c r="C334" s="44" t="s">
        <v>1924</v>
      </c>
      <c r="D334" s="42" t="s">
        <v>1266</v>
      </c>
      <c r="E334" s="46">
        <v>46125</v>
      </c>
      <c r="F334" s="26" t="s">
        <v>6222</v>
      </c>
      <c r="G334" s="26" t="s">
        <v>6224</v>
      </c>
      <c r="H334" s="26" t="s">
        <v>6223</v>
      </c>
      <c r="I334" s="26" t="s">
        <v>6225</v>
      </c>
      <c r="J334" s="26" t="s">
        <v>6224</v>
      </c>
      <c r="K334" s="27"/>
      <c r="L334" s="28" t="s">
        <v>6223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1925</v>
      </c>
      <c r="C335" s="25" t="s">
        <v>1926</v>
      </c>
      <c r="D335" s="23" t="s">
        <v>1266</v>
      </c>
      <c r="E335" s="46">
        <v>46125</v>
      </c>
      <c r="F335" s="26" t="s">
        <v>6222</v>
      </c>
      <c r="G335" s="26" t="s">
        <v>6224</v>
      </c>
      <c r="H335" s="26" t="s">
        <v>6223</v>
      </c>
      <c r="I335" s="26" t="s">
        <v>6225</v>
      </c>
      <c r="J335" s="26" t="s">
        <v>6224</v>
      </c>
      <c r="K335" s="27"/>
      <c r="L335" s="28" t="s">
        <v>6223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1927</v>
      </c>
      <c r="C336" s="44" t="s">
        <v>1928</v>
      </c>
      <c r="D336" s="42" t="s">
        <v>1266</v>
      </c>
      <c r="E336" s="46">
        <v>46125</v>
      </c>
      <c r="F336" s="26" t="s">
        <v>6222</v>
      </c>
      <c r="G336" s="26" t="s">
        <v>6224</v>
      </c>
      <c r="H336" s="26" t="s">
        <v>6223</v>
      </c>
      <c r="I336" s="26" t="s">
        <v>6225</v>
      </c>
      <c r="J336" s="26" t="s">
        <v>6224</v>
      </c>
      <c r="K336" s="27"/>
      <c r="L336" s="28" t="s">
        <v>6223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1929</v>
      </c>
      <c r="C337" s="25" t="s">
        <v>1930</v>
      </c>
      <c r="D337" s="23" t="s">
        <v>1266</v>
      </c>
      <c r="E337" s="46">
        <v>46125</v>
      </c>
      <c r="F337" s="26" t="s">
        <v>6222</v>
      </c>
      <c r="G337" s="26" t="s">
        <v>6224</v>
      </c>
      <c r="H337" s="26" t="s">
        <v>6223</v>
      </c>
      <c r="I337" s="26" t="s">
        <v>6225</v>
      </c>
      <c r="J337" s="26" t="s">
        <v>6224</v>
      </c>
      <c r="K337" s="27"/>
      <c r="L337" s="28" t="s">
        <v>6223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1931</v>
      </c>
      <c r="C338" s="44" t="s">
        <v>1932</v>
      </c>
      <c r="D338" s="42" t="s">
        <v>1266</v>
      </c>
      <c r="E338" s="46">
        <v>46125</v>
      </c>
      <c r="F338" s="26" t="s">
        <v>6222</v>
      </c>
      <c r="G338" s="26" t="s">
        <v>6224</v>
      </c>
      <c r="H338" s="26" t="s">
        <v>6223</v>
      </c>
      <c r="I338" s="26" t="s">
        <v>6225</v>
      </c>
      <c r="J338" s="26" t="s">
        <v>6224</v>
      </c>
      <c r="K338" s="27"/>
      <c r="L338" s="28" t="s">
        <v>6223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1933</v>
      </c>
      <c r="C339" s="25" t="s">
        <v>1934</v>
      </c>
      <c r="D339" s="23" t="s">
        <v>1266</v>
      </c>
      <c r="E339" s="46">
        <v>46125</v>
      </c>
      <c r="F339" s="26" t="s">
        <v>6222</v>
      </c>
      <c r="G339" s="26" t="s">
        <v>6224</v>
      </c>
      <c r="H339" s="26" t="s">
        <v>6223</v>
      </c>
      <c r="I339" s="26" t="s">
        <v>6225</v>
      </c>
      <c r="J339" s="26" t="s">
        <v>6224</v>
      </c>
      <c r="K339" s="27"/>
      <c r="L339" s="28" t="s">
        <v>6223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1935</v>
      </c>
      <c r="C340" s="44" t="s">
        <v>1936</v>
      </c>
      <c r="D340" s="42" t="s">
        <v>1266</v>
      </c>
      <c r="E340" s="46">
        <v>46125</v>
      </c>
      <c r="F340" s="26" t="s">
        <v>6222</v>
      </c>
      <c r="G340" s="26" t="s">
        <v>6224</v>
      </c>
      <c r="H340" s="26" t="s">
        <v>6223</v>
      </c>
      <c r="I340" s="26" t="s">
        <v>6225</v>
      </c>
      <c r="J340" s="26" t="s">
        <v>6224</v>
      </c>
      <c r="K340" s="27"/>
      <c r="L340" s="28" t="s">
        <v>6223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1937</v>
      </c>
      <c r="C341" s="25" t="s">
        <v>1938</v>
      </c>
      <c r="D341" s="23" t="s">
        <v>1266</v>
      </c>
      <c r="E341" s="46">
        <v>46125</v>
      </c>
      <c r="F341" s="26" t="s">
        <v>6222</v>
      </c>
      <c r="G341" s="26" t="s">
        <v>6224</v>
      </c>
      <c r="H341" s="26" t="s">
        <v>6223</v>
      </c>
      <c r="I341" s="26" t="s">
        <v>6225</v>
      </c>
      <c r="J341" s="26" t="s">
        <v>6224</v>
      </c>
      <c r="K341" s="27"/>
      <c r="L341" s="28" t="s">
        <v>6223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1939</v>
      </c>
      <c r="C342" s="44" t="s">
        <v>1940</v>
      </c>
      <c r="D342" s="42" t="s">
        <v>1266</v>
      </c>
      <c r="E342" s="46">
        <v>46125</v>
      </c>
      <c r="F342" s="26" t="s">
        <v>6222</v>
      </c>
      <c r="G342" s="26" t="s">
        <v>6224</v>
      </c>
      <c r="H342" s="26" t="s">
        <v>6223</v>
      </c>
      <c r="I342" s="26" t="s">
        <v>6225</v>
      </c>
      <c r="J342" s="26" t="s">
        <v>6224</v>
      </c>
      <c r="K342" s="27"/>
      <c r="L342" s="28" t="s">
        <v>6223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1941</v>
      </c>
      <c r="C343" s="25" t="s">
        <v>1942</v>
      </c>
      <c r="D343" s="23" t="s">
        <v>1266</v>
      </c>
      <c r="E343" s="46">
        <v>46125</v>
      </c>
      <c r="F343" s="26" t="s">
        <v>6222</v>
      </c>
      <c r="G343" s="26" t="s">
        <v>6224</v>
      </c>
      <c r="H343" s="26" t="s">
        <v>6223</v>
      </c>
      <c r="I343" s="26" t="s">
        <v>6225</v>
      </c>
      <c r="J343" s="26" t="s">
        <v>6224</v>
      </c>
      <c r="K343" s="27"/>
      <c r="L343" s="28" t="s">
        <v>6223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1943</v>
      </c>
      <c r="C344" s="44" t="s">
        <v>1944</v>
      </c>
      <c r="D344" s="42" t="s">
        <v>1266</v>
      </c>
      <c r="E344" s="46">
        <v>46125</v>
      </c>
      <c r="F344" s="26" t="s">
        <v>6222</v>
      </c>
      <c r="G344" s="26" t="s">
        <v>6224</v>
      </c>
      <c r="H344" s="26" t="s">
        <v>6223</v>
      </c>
      <c r="I344" s="26" t="s">
        <v>6225</v>
      </c>
      <c r="J344" s="26" t="s">
        <v>6224</v>
      </c>
      <c r="K344" s="27"/>
      <c r="L344" s="28" t="s">
        <v>6223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1945</v>
      </c>
      <c r="C345" s="25" t="s">
        <v>1946</v>
      </c>
      <c r="D345" s="23" t="s">
        <v>1266</v>
      </c>
      <c r="E345" s="46">
        <v>46125</v>
      </c>
      <c r="F345" s="26" t="s">
        <v>6222</v>
      </c>
      <c r="G345" s="26" t="s">
        <v>6224</v>
      </c>
      <c r="H345" s="26" t="s">
        <v>6223</v>
      </c>
      <c r="I345" s="26" t="s">
        <v>6225</v>
      </c>
      <c r="J345" s="26" t="s">
        <v>6224</v>
      </c>
      <c r="K345" s="27"/>
      <c r="L345" s="28" t="s">
        <v>6223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1947</v>
      </c>
      <c r="C346" s="44" t="s">
        <v>1948</v>
      </c>
      <c r="D346" s="42" t="s">
        <v>1266</v>
      </c>
      <c r="E346" s="46">
        <v>46125</v>
      </c>
      <c r="F346" s="26" t="s">
        <v>6222</v>
      </c>
      <c r="G346" s="26" t="s">
        <v>6224</v>
      </c>
      <c r="H346" s="26" t="s">
        <v>6223</v>
      </c>
      <c r="I346" s="26" t="s">
        <v>6225</v>
      </c>
      <c r="J346" s="26" t="s">
        <v>6224</v>
      </c>
      <c r="K346" s="27"/>
      <c r="L346" s="28" t="s">
        <v>6223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1949</v>
      </c>
      <c r="C347" s="25" t="s">
        <v>1950</v>
      </c>
      <c r="D347" s="23" t="s">
        <v>1266</v>
      </c>
      <c r="E347" s="46">
        <v>46125</v>
      </c>
      <c r="F347" s="26" t="s">
        <v>6222</v>
      </c>
      <c r="G347" s="26" t="s">
        <v>6224</v>
      </c>
      <c r="H347" s="26" t="s">
        <v>6223</v>
      </c>
      <c r="I347" s="26" t="s">
        <v>6225</v>
      </c>
      <c r="J347" s="26" t="s">
        <v>6224</v>
      </c>
      <c r="K347" s="27"/>
      <c r="L347" s="28" t="s">
        <v>6223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1951</v>
      </c>
      <c r="C348" s="44" t="s">
        <v>1952</v>
      </c>
      <c r="D348" s="42" t="s">
        <v>1266</v>
      </c>
      <c r="E348" s="46">
        <v>46125</v>
      </c>
      <c r="F348" s="26" t="s">
        <v>6222</v>
      </c>
      <c r="G348" s="26" t="s">
        <v>6224</v>
      </c>
      <c r="H348" s="26" t="s">
        <v>6223</v>
      </c>
      <c r="I348" s="26" t="s">
        <v>6225</v>
      </c>
      <c r="J348" s="26" t="s">
        <v>6224</v>
      </c>
      <c r="K348" s="27"/>
      <c r="L348" s="28" t="s">
        <v>6223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1953</v>
      </c>
      <c r="C349" s="25" t="s">
        <v>1954</v>
      </c>
      <c r="D349" s="23" t="s">
        <v>1266</v>
      </c>
      <c r="E349" s="46">
        <v>46125</v>
      </c>
      <c r="F349" s="26" t="s">
        <v>6222</v>
      </c>
      <c r="G349" s="26" t="s">
        <v>6224</v>
      </c>
      <c r="H349" s="26" t="s">
        <v>6223</v>
      </c>
      <c r="I349" s="26" t="s">
        <v>6225</v>
      </c>
      <c r="J349" s="26" t="s">
        <v>6224</v>
      </c>
      <c r="K349" s="27"/>
      <c r="L349" s="28" t="s">
        <v>6223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1955</v>
      </c>
      <c r="C350" s="44" t="s">
        <v>1956</v>
      </c>
      <c r="D350" s="42" t="s">
        <v>1266</v>
      </c>
      <c r="E350" s="46">
        <v>46125</v>
      </c>
      <c r="F350" s="26" t="s">
        <v>6222</v>
      </c>
      <c r="G350" s="26" t="s">
        <v>6224</v>
      </c>
      <c r="H350" s="26" t="s">
        <v>6223</v>
      </c>
      <c r="I350" s="26" t="s">
        <v>6225</v>
      </c>
      <c r="J350" s="26" t="s">
        <v>6224</v>
      </c>
      <c r="K350" s="27"/>
      <c r="L350" s="28" t="s">
        <v>6223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1957</v>
      </c>
      <c r="C351" s="25" t="s">
        <v>1958</v>
      </c>
      <c r="D351" s="23" t="s">
        <v>1266</v>
      </c>
      <c r="E351" s="46">
        <v>46125</v>
      </c>
      <c r="F351" s="26" t="s">
        <v>6222</v>
      </c>
      <c r="G351" s="26" t="s">
        <v>6224</v>
      </c>
      <c r="H351" s="26" t="s">
        <v>6223</v>
      </c>
      <c r="I351" s="26" t="s">
        <v>6225</v>
      </c>
      <c r="J351" s="26" t="s">
        <v>6224</v>
      </c>
      <c r="K351" s="27"/>
      <c r="L351" s="28" t="s">
        <v>6223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1959</v>
      </c>
      <c r="C352" s="44" t="s">
        <v>1960</v>
      </c>
      <c r="D352" s="42" t="s">
        <v>1266</v>
      </c>
      <c r="E352" s="46">
        <v>46125</v>
      </c>
      <c r="F352" s="26" t="s">
        <v>6222</v>
      </c>
      <c r="G352" s="26" t="s">
        <v>6224</v>
      </c>
      <c r="H352" s="26" t="s">
        <v>6223</v>
      </c>
      <c r="I352" s="26" t="s">
        <v>6225</v>
      </c>
      <c r="J352" s="26" t="s">
        <v>6224</v>
      </c>
      <c r="K352" s="27"/>
      <c r="L352" s="28" t="s">
        <v>6223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1961</v>
      </c>
      <c r="C353" s="25" t="s">
        <v>1962</v>
      </c>
      <c r="D353" s="23" t="s">
        <v>1266</v>
      </c>
      <c r="E353" s="46">
        <v>46125</v>
      </c>
      <c r="F353" s="26" t="s">
        <v>6222</v>
      </c>
      <c r="G353" s="26" t="s">
        <v>6224</v>
      </c>
      <c r="H353" s="26" t="s">
        <v>6223</v>
      </c>
      <c r="I353" s="26" t="s">
        <v>6225</v>
      </c>
      <c r="J353" s="26" t="s">
        <v>6224</v>
      </c>
      <c r="K353" s="27"/>
      <c r="L353" s="28" t="s">
        <v>6223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1963</v>
      </c>
      <c r="C354" s="44" t="s">
        <v>1964</v>
      </c>
      <c r="D354" s="42" t="s">
        <v>1266</v>
      </c>
      <c r="E354" s="46">
        <v>46125</v>
      </c>
      <c r="F354" s="26" t="s">
        <v>6222</v>
      </c>
      <c r="G354" s="26" t="s">
        <v>6224</v>
      </c>
      <c r="H354" s="26" t="s">
        <v>6223</v>
      </c>
      <c r="I354" s="26" t="s">
        <v>6225</v>
      </c>
      <c r="J354" s="26" t="s">
        <v>6224</v>
      </c>
      <c r="K354" s="27"/>
      <c r="L354" s="28" t="s">
        <v>6223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1965</v>
      </c>
      <c r="C355" s="25" t="s">
        <v>1966</v>
      </c>
      <c r="D355" s="23" t="s">
        <v>1266</v>
      </c>
      <c r="E355" s="46">
        <v>46125</v>
      </c>
      <c r="F355" s="26" t="s">
        <v>6222</v>
      </c>
      <c r="G355" s="26" t="s">
        <v>6224</v>
      </c>
      <c r="H355" s="26" t="s">
        <v>6223</v>
      </c>
      <c r="I355" s="26" t="s">
        <v>6225</v>
      </c>
      <c r="J355" s="26" t="s">
        <v>6224</v>
      </c>
      <c r="K355" s="27"/>
      <c r="L355" s="28" t="s">
        <v>6223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1967</v>
      </c>
      <c r="C356" s="44" t="s">
        <v>1968</v>
      </c>
      <c r="D356" s="42" t="s">
        <v>1266</v>
      </c>
      <c r="E356" s="46">
        <v>46125</v>
      </c>
      <c r="F356" s="26" t="s">
        <v>6222</v>
      </c>
      <c r="G356" s="26" t="s">
        <v>6224</v>
      </c>
      <c r="H356" s="26" t="s">
        <v>6223</v>
      </c>
      <c r="I356" s="26" t="s">
        <v>6225</v>
      </c>
      <c r="J356" s="26" t="s">
        <v>6224</v>
      </c>
      <c r="K356" s="27"/>
      <c r="L356" s="28" t="s">
        <v>6223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1969</v>
      </c>
      <c r="C357" s="25" t="s">
        <v>1970</v>
      </c>
      <c r="D357" s="23" t="s">
        <v>1266</v>
      </c>
      <c r="E357" s="46">
        <v>46125</v>
      </c>
      <c r="F357" s="26" t="s">
        <v>6222</v>
      </c>
      <c r="G357" s="26" t="s">
        <v>6224</v>
      </c>
      <c r="H357" s="26" t="s">
        <v>6223</v>
      </c>
      <c r="I357" s="26" t="s">
        <v>6225</v>
      </c>
      <c r="J357" s="26" t="s">
        <v>6224</v>
      </c>
      <c r="K357" s="27"/>
      <c r="L357" s="28" t="s">
        <v>6223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1971</v>
      </c>
      <c r="C358" s="44" t="s">
        <v>1972</v>
      </c>
      <c r="D358" s="42" t="s">
        <v>1266</v>
      </c>
      <c r="E358" s="46">
        <v>46125</v>
      </c>
      <c r="F358" s="26" t="s">
        <v>6222</v>
      </c>
      <c r="G358" s="26" t="s">
        <v>6224</v>
      </c>
      <c r="H358" s="26" t="s">
        <v>6223</v>
      </c>
      <c r="I358" s="26" t="s">
        <v>6225</v>
      </c>
      <c r="J358" s="26" t="s">
        <v>6224</v>
      </c>
      <c r="K358" s="27"/>
      <c r="L358" s="28" t="s">
        <v>6223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1973</v>
      </c>
      <c r="C359" s="25" t="s">
        <v>1974</v>
      </c>
      <c r="D359" s="23" t="s">
        <v>1266</v>
      </c>
      <c r="E359" s="46">
        <v>46125</v>
      </c>
      <c r="F359" s="26" t="s">
        <v>6222</v>
      </c>
      <c r="G359" s="26" t="s">
        <v>6224</v>
      </c>
      <c r="H359" s="26" t="s">
        <v>6223</v>
      </c>
      <c r="I359" s="26" t="s">
        <v>6225</v>
      </c>
      <c r="J359" s="26" t="s">
        <v>6224</v>
      </c>
      <c r="K359" s="27"/>
      <c r="L359" s="28" t="s">
        <v>6223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1975</v>
      </c>
      <c r="C360" s="44" t="s">
        <v>1976</v>
      </c>
      <c r="D360" s="42" t="s">
        <v>1266</v>
      </c>
      <c r="E360" s="46">
        <v>46125</v>
      </c>
      <c r="F360" s="26" t="s">
        <v>6222</v>
      </c>
      <c r="G360" s="26" t="s">
        <v>6224</v>
      </c>
      <c r="H360" s="26" t="s">
        <v>6223</v>
      </c>
      <c r="I360" s="26" t="s">
        <v>6225</v>
      </c>
      <c r="J360" s="26" t="s">
        <v>6224</v>
      </c>
      <c r="K360" s="27"/>
      <c r="L360" s="28" t="s">
        <v>6223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1977</v>
      </c>
      <c r="C361" s="25" t="s">
        <v>1978</v>
      </c>
      <c r="D361" s="23" t="s">
        <v>1266</v>
      </c>
      <c r="E361" s="46">
        <v>46125</v>
      </c>
      <c r="F361" s="26" t="s">
        <v>6222</v>
      </c>
      <c r="G361" s="26" t="s">
        <v>6224</v>
      </c>
      <c r="H361" s="26" t="s">
        <v>6223</v>
      </c>
      <c r="I361" s="26" t="s">
        <v>6225</v>
      </c>
      <c r="J361" s="26" t="s">
        <v>6224</v>
      </c>
      <c r="K361" s="27"/>
      <c r="L361" s="28" t="s">
        <v>6223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1979</v>
      </c>
      <c r="C362" s="44" t="s">
        <v>1980</v>
      </c>
      <c r="D362" s="42" t="s">
        <v>1266</v>
      </c>
      <c r="E362" s="46">
        <v>46125</v>
      </c>
      <c r="F362" s="26" t="s">
        <v>6222</v>
      </c>
      <c r="G362" s="26" t="s">
        <v>6224</v>
      </c>
      <c r="H362" s="26" t="s">
        <v>6223</v>
      </c>
      <c r="I362" s="26" t="s">
        <v>6225</v>
      </c>
      <c r="J362" s="26" t="s">
        <v>6224</v>
      </c>
      <c r="K362" s="27"/>
      <c r="L362" s="28" t="s">
        <v>6223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1981</v>
      </c>
      <c r="C363" s="25" t="s">
        <v>1982</v>
      </c>
      <c r="D363" s="23" t="s">
        <v>1266</v>
      </c>
      <c r="E363" s="46">
        <v>46125</v>
      </c>
      <c r="F363" s="26" t="s">
        <v>6222</v>
      </c>
      <c r="G363" s="26" t="s">
        <v>6224</v>
      </c>
      <c r="H363" s="26" t="s">
        <v>6223</v>
      </c>
      <c r="I363" s="26" t="s">
        <v>6225</v>
      </c>
      <c r="J363" s="26" t="s">
        <v>6224</v>
      </c>
      <c r="K363" s="27"/>
      <c r="L363" s="28" t="s">
        <v>6223</v>
      </c>
      <c r="M363" s="29" t="str">
        <f t="shared" si="25"/>
        <v>✓ OK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1983</v>
      </c>
      <c r="C364" s="44" t="s">
        <v>1984</v>
      </c>
      <c r="D364" s="42" t="s">
        <v>1266</v>
      </c>
      <c r="E364" s="46">
        <v>46125</v>
      </c>
      <c r="F364" s="26" t="s">
        <v>6222</v>
      </c>
      <c r="G364" s="26" t="s">
        <v>6224</v>
      </c>
      <c r="H364" s="26" t="s">
        <v>6223</v>
      </c>
      <c r="I364" s="26" t="s">
        <v>6225</v>
      </c>
      <c r="J364" s="26" t="s">
        <v>6224</v>
      </c>
      <c r="K364" s="27"/>
      <c r="L364" s="28" t="s">
        <v>6223</v>
      </c>
      <c r="M364" s="29" t="str">
        <f t="shared" si="25"/>
        <v>✓ OK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1985</v>
      </c>
      <c r="C365" s="25" t="s">
        <v>1986</v>
      </c>
      <c r="D365" s="23" t="s">
        <v>1266</v>
      </c>
      <c r="E365" s="46">
        <v>46125</v>
      </c>
      <c r="F365" s="26" t="s">
        <v>6222</v>
      </c>
      <c r="G365" s="26" t="s">
        <v>6224</v>
      </c>
      <c r="H365" s="26" t="s">
        <v>6223</v>
      </c>
      <c r="I365" s="26" t="s">
        <v>6225</v>
      </c>
      <c r="J365" s="26" t="s">
        <v>6224</v>
      </c>
      <c r="K365" s="27"/>
      <c r="L365" s="28" t="s">
        <v>6223</v>
      </c>
      <c r="M365" s="29" t="str">
        <f t="shared" si="25"/>
        <v>✓ OK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1987</v>
      </c>
      <c r="C366" s="44" t="s">
        <v>1988</v>
      </c>
      <c r="D366" s="42" t="s">
        <v>1266</v>
      </c>
      <c r="E366" s="46">
        <v>46125</v>
      </c>
      <c r="F366" s="26" t="s">
        <v>6222</v>
      </c>
      <c r="G366" s="26" t="s">
        <v>6224</v>
      </c>
      <c r="H366" s="26" t="s">
        <v>6223</v>
      </c>
      <c r="I366" s="26" t="s">
        <v>6225</v>
      </c>
      <c r="J366" s="26" t="s">
        <v>6224</v>
      </c>
      <c r="K366" s="27"/>
      <c r="L366" s="28" t="s">
        <v>6223</v>
      </c>
      <c r="M366" s="29" t="str">
        <f t="shared" si="25"/>
        <v>✓ OK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1989</v>
      </c>
      <c r="C367" s="25" t="s">
        <v>1990</v>
      </c>
      <c r="D367" s="23" t="s">
        <v>1266</v>
      </c>
      <c r="E367" s="46">
        <v>46125</v>
      </c>
      <c r="F367" s="26" t="s">
        <v>6222</v>
      </c>
      <c r="G367" s="26" t="s">
        <v>6224</v>
      </c>
      <c r="H367" s="26" t="s">
        <v>6223</v>
      </c>
      <c r="I367" s="26" t="s">
        <v>6225</v>
      </c>
      <c r="J367" s="26" t="s">
        <v>6224</v>
      </c>
      <c r="K367" s="27"/>
      <c r="L367" s="28" t="s">
        <v>6223</v>
      </c>
      <c r="M367" s="29" t="str">
        <f t="shared" si="25"/>
        <v>✓ OK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1991</v>
      </c>
      <c r="C368" s="44" t="s">
        <v>1992</v>
      </c>
      <c r="D368" s="42" t="s">
        <v>1266</v>
      </c>
      <c r="E368" s="46">
        <v>46125</v>
      </c>
      <c r="F368" s="26" t="s">
        <v>6222</v>
      </c>
      <c r="G368" s="26" t="s">
        <v>6224</v>
      </c>
      <c r="H368" s="26" t="s">
        <v>6223</v>
      </c>
      <c r="I368" s="26" t="s">
        <v>6225</v>
      </c>
      <c r="J368" s="26" t="s">
        <v>6224</v>
      </c>
      <c r="K368" s="27"/>
      <c r="L368" s="28" t="s">
        <v>6223</v>
      </c>
      <c r="M368" s="29" t="str">
        <f t="shared" si="25"/>
        <v>✓ OK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1993</v>
      </c>
      <c r="C369" s="25" t="s">
        <v>1994</v>
      </c>
      <c r="D369" s="23" t="s">
        <v>1266</v>
      </c>
      <c r="E369" s="46">
        <v>46125</v>
      </c>
      <c r="F369" s="26" t="s">
        <v>6222</v>
      </c>
      <c r="G369" s="26" t="s">
        <v>6224</v>
      </c>
      <c r="H369" s="26" t="s">
        <v>6223</v>
      </c>
      <c r="I369" s="26" t="s">
        <v>6225</v>
      </c>
      <c r="J369" s="26" t="s">
        <v>6224</v>
      </c>
      <c r="K369" s="27"/>
      <c r="L369" s="28" t="s">
        <v>6223</v>
      </c>
      <c r="M369" s="29" t="str">
        <f t="shared" si="25"/>
        <v>✓ OK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1995</v>
      </c>
      <c r="C370" s="44" t="s">
        <v>1996</v>
      </c>
      <c r="D370" s="42" t="s">
        <v>1266</v>
      </c>
      <c r="E370" s="46">
        <v>46125</v>
      </c>
      <c r="F370" s="26" t="s">
        <v>6222</v>
      </c>
      <c r="G370" s="26" t="s">
        <v>6224</v>
      </c>
      <c r="H370" s="26" t="s">
        <v>6223</v>
      </c>
      <c r="I370" s="26" t="s">
        <v>6225</v>
      </c>
      <c r="J370" s="26" t="s">
        <v>6224</v>
      </c>
      <c r="K370" s="27"/>
      <c r="L370" s="28" t="s">
        <v>6223</v>
      </c>
      <c r="M370" s="29" t="str">
        <f t="shared" si="25"/>
        <v>✓ OK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1997</v>
      </c>
      <c r="C371" s="25" t="s">
        <v>1998</v>
      </c>
      <c r="D371" s="23" t="s">
        <v>1266</v>
      </c>
      <c r="E371" s="46">
        <v>46125</v>
      </c>
      <c r="F371" s="26" t="s">
        <v>6222</v>
      </c>
      <c r="G371" s="26" t="s">
        <v>6224</v>
      </c>
      <c r="H371" s="26" t="s">
        <v>6223</v>
      </c>
      <c r="I371" s="26" t="s">
        <v>6225</v>
      </c>
      <c r="J371" s="26" t="s">
        <v>6224</v>
      </c>
      <c r="K371" s="27"/>
      <c r="L371" s="28" t="s">
        <v>6223</v>
      </c>
      <c r="M371" s="29" t="str">
        <f t="shared" si="25"/>
        <v>✓ OK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1999</v>
      </c>
      <c r="C372" s="44" t="s">
        <v>2000</v>
      </c>
      <c r="D372" s="42" t="s">
        <v>1266</v>
      </c>
      <c r="E372" s="46">
        <v>46125</v>
      </c>
      <c r="F372" s="26" t="s">
        <v>6222</v>
      </c>
      <c r="G372" s="26" t="s">
        <v>6224</v>
      </c>
      <c r="H372" s="26" t="s">
        <v>6223</v>
      </c>
      <c r="I372" s="26" t="s">
        <v>6225</v>
      </c>
      <c r="J372" s="26" t="s">
        <v>6224</v>
      </c>
      <c r="K372" s="27"/>
      <c r="L372" s="28" t="s">
        <v>6223</v>
      </c>
      <c r="M372" s="29" t="str">
        <f t="shared" si="25"/>
        <v>✓ OK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2001</v>
      </c>
      <c r="C373" s="25" t="s">
        <v>2002</v>
      </c>
      <c r="D373" s="23" t="s">
        <v>1266</v>
      </c>
      <c r="E373" s="46">
        <v>46125</v>
      </c>
      <c r="F373" s="26" t="s">
        <v>6222</v>
      </c>
      <c r="G373" s="26" t="s">
        <v>6224</v>
      </c>
      <c r="H373" s="26" t="s">
        <v>6223</v>
      </c>
      <c r="I373" s="26" t="s">
        <v>6225</v>
      </c>
      <c r="J373" s="26" t="s">
        <v>6224</v>
      </c>
      <c r="K373" s="27"/>
      <c r="L373" s="28" t="s">
        <v>6223</v>
      </c>
      <c r="M373" s="29" t="str">
        <f t="shared" si="25"/>
        <v>✓ OK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2003</v>
      </c>
      <c r="C374" s="44" t="s">
        <v>2004</v>
      </c>
      <c r="D374" s="42" t="s">
        <v>1266</v>
      </c>
      <c r="E374" s="46">
        <v>46125</v>
      </c>
      <c r="F374" s="26" t="s">
        <v>6222</v>
      </c>
      <c r="G374" s="26" t="s">
        <v>6224</v>
      </c>
      <c r="H374" s="26" t="s">
        <v>6223</v>
      </c>
      <c r="I374" s="26" t="s">
        <v>6225</v>
      </c>
      <c r="J374" s="26" t="s">
        <v>6224</v>
      </c>
      <c r="K374" s="27"/>
      <c r="L374" s="28" t="s">
        <v>6223</v>
      </c>
      <c r="M374" s="29" t="str">
        <f t="shared" si="25"/>
        <v>✓ OK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2005</v>
      </c>
      <c r="C375" s="25" t="s">
        <v>2006</v>
      </c>
      <c r="D375" s="23" t="s">
        <v>1266</v>
      </c>
      <c r="E375" s="46">
        <v>46125</v>
      </c>
      <c r="F375" s="26" t="s">
        <v>6222</v>
      </c>
      <c r="G375" s="26" t="s">
        <v>6224</v>
      </c>
      <c r="H375" s="26" t="s">
        <v>6223</v>
      </c>
      <c r="I375" s="26" t="s">
        <v>6225</v>
      </c>
      <c r="J375" s="26" t="s">
        <v>6224</v>
      </c>
      <c r="K375" s="27"/>
      <c r="L375" s="28" t="s">
        <v>6223</v>
      </c>
      <c r="M375" s="29" t="str">
        <f t="shared" si="25"/>
        <v>✓ OK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2007</v>
      </c>
      <c r="C376" s="44" t="s">
        <v>2008</v>
      </c>
      <c r="D376" s="42" t="s">
        <v>1266</v>
      </c>
      <c r="E376" s="46">
        <v>46125</v>
      </c>
      <c r="F376" s="26" t="s">
        <v>6222</v>
      </c>
      <c r="G376" s="26" t="s">
        <v>6224</v>
      </c>
      <c r="H376" s="26" t="s">
        <v>6223</v>
      </c>
      <c r="I376" s="26" t="s">
        <v>6225</v>
      </c>
      <c r="J376" s="26" t="s">
        <v>6224</v>
      </c>
      <c r="K376" s="27"/>
      <c r="L376" s="28" t="s">
        <v>6223</v>
      </c>
      <c r="M376" s="29" t="str">
        <f t="shared" si="25"/>
        <v>✓ OK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2009</v>
      </c>
      <c r="C377" s="25" t="s">
        <v>2010</v>
      </c>
      <c r="D377" s="23" t="s">
        <v>1266</v>
      </c>
      <c r="E377" s="46">
        <v>46125</v>
      </c>
      <c r="F377" s="26" t="s">
        <v>6222</v>
      </c>
      <c r="G377" s="26" t="s">
        <v>6224</v>
      </c>
      <c r="H377" s="26" t="s">
        <v>6223</v>
      </c>
      <c r="I377" s="26" t="s">
        <v>6225</v>
      </c>
      <c r="J377" s="26" t="s">
        <v>6224</v>
      </c>
      <c r="K377" s="27"/>
      <c r="L377" s="28" t="s">
        <v>6223</v>
      </c>
      <c r="M377" s="29" t="str">
        <f t="shared" si="25"/>
        <v>✓ OK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2011</v>
      </c>
      <c r="C378" s="44" t="s">
        <v>2012</v>
      </c>
      <c r="D378" s="42" t="s">
        <v>1266</v>
      </c>
      <c r="E378" s="46">
        <v>46125</v>
      </c>
      <c r="F378" s="26" t="s">
        <v>6222</v>
      </c>
      <c r="G378" s="26" t="s">
        <v>6224</v>
      </c>
      <c r="H378" s="26" t="s">
        <v>6223</v>
      </c>
      <c r="I378" s="26" t="s">
        <v>6225</v>
      </c>
      <c r="J378" s="26" t="s">
        <v>6224</v>
      </c>
      <c r="K378" s="27"/>
      <c r="L378" s="28" t="s">
        <v>6223</v>
      </c>
      <c r="M378" s="29" t="str">
        <f t="shared" si="25"/>
        <v>✓ OK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2013</v>
      </c>
      <c r="C379" s="25" t="s">
        <v>2014</v>
      </c>
      <c r="D379" s="23" t="s">
        <v>1266</v>
      </c>
      <c r="E379" s="46">
        <v>46125</v>
      </c>
      <c r="F379" s="26" t="s">
        <v>6222</v>
      </c>
      <c r="G379" s="26" t="s">
        <v>6224</v>
      </c>
      <c r="H379" s="26" t="s">
        <v>6223</v>
      </c>
      <c r="I379" s="26" t="s">
        <v>6225</v>
      </c>
      <c r="J379" s="26" t="s">
        <v>6224</v>
      </c>
      <c r="K379" s="27"/>
      <c r="L379" s="28" t="s">
        <v>6223</v>
      </c>
      <c r="M379" s="29" t="str">
        <f t="shared" si="25"/>
        <v>✓ OK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2015</v>
      </c>
      <c r="C380" s="44" t="s">
        <v>2016</v>
      </c>
      <c r="D380" s="42" t="s">
        <v>1266</v>
      </c>
      <c r="E380" s="46">
        <v>46125</v>
      </c>
      <c r="F380" s="26" t="s">
        <v>6222</v>
      </c>
      <c r="G380" s="26" t="s">
        <v>6224</v>
      </c>
      <c r="H380" s="26" t="s">
        <v>6223</v>
      </c>
      <c r="I380" s="26" t="s">
        <v>6225</v>
      </c>
      <c r="J380" s="26" t="s">
        <v>6224</v>
      </c>
      <c r="K380" s="27"/>
      <c r="L380" s="28" t="s">
        <v>6223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2017</v>
      </c>
      <c r="C381" s="25" t="s">
        <v>2018</v>
      </c>
      <c r="D381" s="23" t="s">
        <v>1266</v>
      </c>
      <c r="E381" s="46">
        <v>46125</v>
      </c>
      <c r="F381" s="26" t="s">
        <v>6222</v>
      </c>
      <c r="G381" s="26" t="s">
        <v>6224</v>
      </c>
      <c r="H381" s="26" t="s">
        <v>6223</v>
      </c>
      <c r="I381" s="26" t="s">
        <v>6225</v>
      </c>
      <c r="J381" s="26" t="s">
        <v>6224</v>
      </c>
      <c r="K381" s="27"/>
      <c r="L381" s="28" t="s">
        <v>6223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2019</v>
      </c>
      <c r="C382" s="44" t="s">
        <v>2020</v>
      </c>
      <c r="D382" s="42" t="s">
        <v>1266</v>
      </c>
      <c r="E382" s="46">
        <v>46125</v>
      </c>
      <c r="F382" s="26" t="s">
        <v>6222</v>
      </c>
      <c r="G382" s="26" t="s">
        <v>6224</v>
      </c>
      <c r="H382" s="26" t="s">
        <v>6223</v>
      </c>
      <c r="I382" s="26" t="s">
        <v>6225</v>
      </c>
      <c r="J382" s="26" t="s">
        <v>6224</v>
      </c>
      <c r="K382" s="27"/>
      <c r="L382" s="28" t="s">
        <v>6223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2021</v>
      </c>
      <c r="C383" s="25" t="s">
        <v>2022</v>
      </c>
      <c r="D383" s="23" t="s">
        <v>1266</v>
      </c>
      <c r="E383" s="46">
        <v>46125</v>
      </c>
      <c r="F383" s="26" t="s">
        <v>6222</v>
      </c>
      <c r="G383" s="26" t="s">
        <v>6224</v>
      </c>
      <c r="H383" s="26" t="s">
        <v>6223</v>
      </c>
      <c r="I383" s="26" t="s">
        <v>6225</v>
      </c>
      <c r="J383" s="26" t="s">
        <v>6224</v>
      </c>
      <c r="K383" s="27"/>
      <c r="L383" s="28" t="s">
        <v>6223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2023</v>
      </c>
      <c r="C384" s="44" t="s">
        <v>2024</v>
      </c>
      <c r="D384" s="42" t="s">
        <v>1266</v>
      </c>
      <c r="E384" s="46">
        <v>46125</v>
      </c>
      <c r="F384" s="26" t="s">
        <v>6222</v>
      </c>
      <c r="G384" s="26" t="s">
        <v>6224</v>
      </c>
      <c r="H384" s="26" t="s">
        <v>6223</v>
      </c>
      <c r="I384" s="26" t="s">
        <v>6225</v>
      </c>
      <c r="J384" s="26" t="s">
        <v>6224</v>
      </c>
      <c r="K384" s="27"/>
      <c r="L384" s="28" t="s">
        <v>6223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2025</v>
      </c>
      <c r="C385" s="25" t="s">
        <v>2026</v>
      </c>
      <c r="D385" s="23" t="s">
        <v>1266</v>
      </c>
      <c r="E385" s="46">
        <v>46125</v>
      </c>
      <c r="F385" s="26" t="s">
        <v>6222</v>
      </c>
      <c r="G385" s="26" t="s">
        <v>6224</v>
      </c>
      <c r="H385" s="26" t="s">
        <v>6223</v>
      </c>
      <c r="I385" s="26" t="s">
        <v>6225</v>
      </c>
      <c r="J385" s="26" t="s">
        <v>6224</v>
      </c>
      <c r="K385" s="27"/>
      <c r="L385" s="28" t="s">
        <v>6223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2027</v>
      </c>
      <c r="C386" s="44" t="s">
        <v>2028</v>
      </c>
      <c r="D386" s="42" t="s">
        <v>1266</v>
      </c>
      <c r="E386" s="46">
        <v>46125</v>
      </c>
      <c r="F386" s="26" t="s">
        <v>6222</v>
      </c>
      <c r="G386" s="26" t="s">
        <v>6224</v>
      </c>
      <c r="H386" s="26" t="s">
        <v>6223</v>
      </c>
      <c r="I386" s="26" t="s">
        <v>6225</v>
      </c>
      <c r="J386" s="26" t="s">
        <v>6224</v>
      </c>
      <c r="K386" s="27"/>
      <c r="L386" s="28" t="s">
        <v>6223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2029</v>
      </c>
      <c r="C387" s="25" t="s">
        <v>2030</v>
      </c>
      <c r="D387" s="23" t="s">
        <v>1266</v>
      </c>
      <c r="E387" s="46">
        <v>46125</v>
      </c>
      <c r="F387" s="26" t="s">
        <v>6222</v>
      </c>
      <c r="G387" s="26" t="s">
        <v>6224</v>
      </c>
      <c r="H387" s="26" t="s">
        <v>6223</v>
      </c>
      <c r="I387" s="26" t="s">
        <v>6225</v>
      </c>
      <c r="J387" s="26" t="s">
        <v>6224</v>
      </c>
      <c r="K387" s="27"/>
      <c r="L387" s="28" t="s">
        <v>6223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2031</v>
      </c>
      <c r="C388" s="44" t="s">
        <v>2032</v>
      </c>
      <c r="D388" s="42" t="s">
        <v>1266</v>
      </c>
      <c r="E388" s="46">
        <v>46125</v>
      </c>
      <c r="F388" s="26" t="s">
        <v>6222</v>
      </c>
      <c r="G388" s="26" t="s">
        <v>6224</v>
      </c>
      <c r="H388" s="26" t="s">
        <v>6223</v>
      </c>
      <c r="I388" s="26" t="s">
        <v>6225</v>
      </c>
      <c r="J388" s="26" t="s">
        <v>6224</v>
      </c>
      <c r="K388" s="27"/>
      <c r="L388" s="28" t="s">
        <v>6223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2033</v>
      </c>
      <c r="C389" s="25" t="s">
        <v>2034</v>
      </c>
      <c r="D389" s="23" t="s">
        <v>1266</v>
      </c>
      <c r="E389" s="46">
        <v>46125</v>
      </c>
      <c r="F389" s="26" t="s">
        <v>6222</v>
      </c>
      <c r="G389" s="26" t="s">
        <v>6224</v>
      </c>
      <c r="H389" s="26" t="s">
        <v>6223</v>
      </c>
      <c r="I389" s="26" t="s">
        <v>6225</v>
      </c>
      <c r="J389" s="26" t="s">
        <v>6224</v>
      </c>
      <c r="K389" s="27"/>
      <c r="L389" s="28" t="s">
        <v>6223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2035</v>
      </c>
      <c r="C390" s="44" t="s">
        <v>2036</v>
      </c>
      <c r="D390" s="42" t="s">
        <v>1266</v>
      </c>
      <c r="E390" s="46">
        <v>46125</v>
      </c>
      <c r="F390" s="26" t="s">
        <v>6222</v>
      </c>
      <c r="G390" s="26" t="s">
        <v>6224</v>
      </c>
      <c r="H390" s="26" t="s">
        <v>6223</v>
      </c>
      <c r="I390" s="26" t="s">
        <v>6225</v>
      </c>
      <c r="J390" s="26" t="s">
        <v>6224</v>
      </c>
      <c r="K390" s="27"/>
      <c r="L390" s="28" t="s">
        <v>6223</v>
      </c>
      <c r="M390" s="29" t="str">
        <f t="shared" si="30"/>
        <v>✓ OK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2037</v>
      </c>
      <c r="C391" s="25" t="s">
        <v>2038</v>
      </c>
      <c r="D391" s="23" t="s">
        <v>1266</v>
      </c>
      <c r="E391" s="46">
        <v>46125</v>
      </c>
      <c r="F391" s="26" t="s">
        <v>6222</v>
      </c>
      <c r="G391" s="26" t="s">
        <v>6224</v>
      </c>
      <c r="H391" s="26" t="s">
        <v>6223</v>
      </c>
      <c r="I391" s="26" t="s">
        <v>6225</v>
      </c>
      <c r="J391" s="26" t="s">
        <v>6224</v>
      </c>
      <c r="K391" s="27"/>
      <c r="L391" s="28" t="s">
        <v>6223</v>
      </c>
      <c r="M391" s="29" t="str">
        <f t="shared" si="30"/>
        <v>✓ OK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2039</v>
      </c>
      <c r="C392" s="44" t="s">
        <v>2040</v>
      </c>
      <c r="D392" s="42" t="s">
        <v>1266</v>
      </c>
      <c r="E392" s="46">
        <v>46125</v>
      </c>
      <c r="F392" s="26" t="s">
        <v>6222</v>
      </c>
      <c r="G392" s="26" t="s">
        <v>6224</v>
      </c>
      <c r="H392" s="26" t="s">
        <v>6223</v>
      </c>
      <c r="I392" s="26" t="s">
        <v>6225</v>
      </c>
      <c r="J392" s="26" t="s">
        <v>6224</v>
      </c>
      <c r="K392" s="27"/>
      <c r="L392" s="28" t="s">
        <v>6223</v>
      </c>
      <c r="M392" s="29" t="str">
        <f t="shared" si="30"/>
        <v>✓ OK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2041</v>
      </c>
      <c r="C393" s="25" t="s">
        <v>2042</v>
      </c>
      <c r="D393" s="23" t="s">
        <v>1266</v>
      </c>
      <c r="E393" s="46">
        <v>46125</v>
      </c>
      <c r="F393" s="26" t="s">
        <v>6222</v>
      </c>
      <c r="G393" s="26" t="s">
        <v>6224</v>
      </c>
      <c r="H393" s="26" t="s">
        <v>6223</v>
      </c>
      <c r="I393" s="26" t="s">
        <v>6225</v>
      </c>
      <c r="J393" s="26" t="s">
        <v>6224</v>
      </c>
      <c r="K393" s="27"/>
      <c r="L393" s="28" t="s">
        <v>6223</v>
      </c>
      <c r="M393" s="29" t="str">
        <f t="shared" si="30"/>
        <v>✓ OK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2043</v>
      </c>
      <c r="C394" s="44" t="s">
        <v>2044</v>
      </c>
      <c r="D394" s="42" t="s">
        <v>1266</v>
      </c>
      <c r="E394" s="46">
        <v>46125</v>
      </c>
      <c r="F394" s="26" t="s">
        <v>6222</v>
      </c>
      <c r="G394" s="26" t="s">
        <v>6224</v>
      </c>
      <c r="H394" s="26" t="s">
        <v>6223</v>
      </c>
      <c r="I394" s="26" t="s">
        <v>6225</v>
      </c>
      <c r="J394" s="26" t="s">
        <v>6224</v>
      </c>
      <c r="K394" s="27"/>
      <c r="L394" s="28" t="s">
        <v>6223</v>
      </c>
      <c r="M394" s="29" t="str">
        <f t="shared" si="30"/>
        <v>✓ OK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2045</v>
      </c>
      <c r="C395" s="25" t="s">
        <v>2046</v>
      </c>
      <c r="D395" s="23" t="s">
        <v>1266</v>
      </c>
      <c r="E395" s="46">
        <v>46125</v>
      </c>
      <c r="F395" s="26" t="s">
        <v>6222</v>
      </c>
      <c r="G395" s="26" t="s">
        <v>6224</v>
      </c>
      <c r="H395" s="26" t="s">
        <v>6223</v>
      </c>
      <c r="I395" s="26" t="s">
        <v>6225</v>
      </c>
      <c r="J395" s="26" t="s">
        <v>6224</v>
      </c>
      <c r="K395" s="27"/>
      <c r="L395" s="28" t="s">
        <v>6223</v>
      </c>
      <c r="M395" s="29" t="str">
        <f t="shared" si="30"/>
        <v>✓ OK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2047</v>
      </c>
      <c r="C396" s="44" t="s">
        <v>2048</v>
      </c>
      <c r="D396" s="42" t="s">
        <v>1266</v>
      </c>
      <c r="E396" s="46">
        <v>46125</v>
      </c>
      <c r="F396" s="26" t="s">
        <v>6222</v>
      </c>
      <c r="G396" s="26" t="s">
        <v>6224</v>
      </c>
      <c r="H396" s="26" t="s">
        <v>6223</v>
      </c>
      <c r="I396" s="26" t="s">
        <v>6225</v>
      </c>
      <c r="J396" s="26" t="s">
        <v>6224</v>
      </c>
      <c r="K396" s="27"/>
      <c r="L396" s="28" t="s">
        <v>6223</v>
      </c>
      <c r="M396" s="29" t="str">
        <f t="shared" si="30"/>
        <v>✓ OK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2049</v>
      </c>
      <c r="C397" s="25" t="s">
        <v>2050</v>
      </c>
      <c r="D397" s="23" t="s">
        <v>1266</v>
      </c>
      <c r="E397" s="46">
        <v>46125</v>
      </c>
      <c r="F397" s="26" t="s">
        <v>6222</v>
      </c>
      <c r="G397" s="26" t="s">
        <v>6224</v>
      </c>
      <c r="H397" s="26" t="s">
        <v>6223</v>
      </c>
      <c r="I397" s="26" t="s">
        <v>6225</v>
      </c>
      <c r="J397" s="26" t="s">
        <v>6224</v>
      </c>
      <c r="K397" s="27"/>
      <c r="L397" s="28" t="s">
        <v>6223</v>
      </c>
      <c r="M397" s="29" t="str">
        <f t="shared" si="30"/>
        <v>✓ OK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2051</v>
      </c>
      <c r="C398" s="44" t="s">
        <v>2052</v>
      </c>
      <c r="D398" s="42" t="s">
        <v>1266</v>
      </c>
      <c r="E398" s="46">
        <v>46125</v>
      </c>
      <c r="F398" s="26" t="s">
        <v>6222</v>
      </c>
      <c r="G398" s="26" t="s">
        <v>6224</v>
      </c>
      <c r="H398" s="26" t="s">
        <v>6223</v>
      </c>
      <c r="I398" s="26" t="s">
        <v>6225</v>
      </c>
      <c r="J398" s="26" t="s">
        <v>6224</v>
      </c>
      <c r="K398" s="27"/>
      <c r="L398" s="28" t="s">
        <v>6223</v>
      </c>
      <c r="M398" s="29" t="str">
        <f t="shared" si="30"/>
        <v>✓ OK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2053</v>
      </c>
      <c r="C399" s="25" t="s">
        <v>2054</v>
      </c>
      <c r="D399" s="23" t="s">
        <v>1266</v>
      </c>
      <c r="E399" s="46">
        <v>46125</v>
      </c>
      <c r="F399" s="26" t="s">
        <v>6222</v>
      </c>
      <c r="G399" s="26" t="s">
        <v>6224</v>
      </c>
      <c r="H399" s="26" t="s">
        <v>6223</v>
      </c>
      <c r="I399" s="26" t="s">
        <v>6225</v>
      </c>
      <c r="J399" s="26" t="s">
        <v>6224</v>
      </c>
      <c r="K399" s="27"/>
      <c r="L399" s="28" t="s">
        <v>6223</v>
      </c>
      <c r="M399" s="29" t="str">
        <f t="shared" si="30"/>
        <v>✓ OK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2055</v>
      </c>
      <c r="C400" s="44" t="s">
        <v>2056</v>
      </c>
      <c r="D400" s="42" t="s">
        <v>1266</v>
      </c>
      <c r="E400" s="46">
        <v>46125</v>
      </c>
      <c r="F400" s="26" t="s">
        <v>6222</v>
      </c>
      <c r="G400" s="26" t="s">
        <v>6224</v>
      </c>
      <c r="H400" s="26" t="s">
        <v>6223</v>
      </c>
      <c r="I400" s="26" t="s">
        <v>6225</v>
      </c>
      <c r="J400" s="26" t="s">
        <v>6224</v>
      </c>
      <c r="K400" s="27"/>
      <c r="L400" s="28" t="s">
        <v>6223</v>
      </c>
      <c r="M400" s="29" t="str">
        <f t="shared" si="30"/>
        <v>✓ OK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2057</v>
      </c>
      <c r="C401" s="25" t="s">
        <v>2058</v>
      </c>
      <c r="D401" s="23" t="s">
        <v>1266</v>
      </c>
      <c r="E401" s="46">
        <v>46125</v>
      </c>
      <c r="F401" s="26" t="s">
        <v>6222</v>
      </c>
      <c r="G401" s="26" t="s">
        <v>6224</v>
      </c>
      <c r="H401" s="26" t="s">
        <v>6223</v>
      </c>
      <c r="I401" s="26" t="s">
        <v>6225</v>
      </c>
      <c r="J401" s="26" t="s">
        <v>6224</v>
      </c>
      <c r="K401" s="27"/>
      <c r="L401" s="28" t="s">
        <v>6223</v>
      </c>
      <c r="M401" s="29" t="str">
        <f t="shared" si="30"/>
        <v>✓ OK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2059</v>
      </c>
      <c r="C402" s="44" t="s">
        <v>2060</v>
      </c>
      <c r="D402" s="42" t="s">
        <v>1266</v>
      </c>
      <c r="E402" s="46">
        <v>46125</v>
      </c>
      <c r="F402" s="26" t="s">
        <v>6222</v>
      </c>
      <c r="G402" s="26" t="s">
        <v>6224</v>
      </c>
      <c r="H402" s="26" t="s">
        <v>6223</v>
      </c>
      <c r="I402" s="26" t="s">
        <v>6225</v>
      </c>
      <c r="J402" s="26" t="s">
        <v>6224</v>
      </c>
      <c r="K402" s="27"/>
      <c r="L402" s="28" t="s">
        <v>6223</v>
      </c>
      <c r="M402" s="29" t="str">
        <f t="shared" si="30"/>
        <v>✓ OK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2061</v>
      </c>
      <c r="C403" s="25" t="s">
        <v>2062</v>
      </c>
      <c r="D403" s="23" t="s">
        <v>1266</v>
      </c>
      <c r="E403" s="46">
        <v>46125</v>
      </c>
      <c r="F403" s="26" t="s">
        <v>6222</v>
      </c>
      <c r="G403" s="26" t="s">
        <v>6224</v>
      </c>
      <c r="H403" s="26" t="s">
        <v>6223</v>
      </c>
      <c r="I403" s="26" t="s">
        <v>6225</v>
      </c>
      <c r="J403" s="26" t="s">
        <v>6224</v>
      </c>
      <c r="K403" s="27"/>
      <c r="L403" s="28" t="s">
        <v>6223</v>
      </c>
      <c r="M403" s="29" t="str">
        <f t="shared" si="30"/>
        <v>✓ OK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2063</v>
      </c>
      <c r="C404" s="44" t="s">
        <v>2064</v>
      </c>
      <c r="D404" s="42" t="s">
        <v>1266</v>
      </c>
      <c r="E404" s="46">
        <v>46125</v>
      </c>
      <c r="F404" s="26" t="s">
        <v>6222</v>
      </c>
      <c r="G404" s="26" t="s">
        <v>6224</v>
      </c>
      <c r="H404" s="26" t="s">
        <v>6223</v>
      </c>
      <c r="I404" s="26" t="s">
        <v>6225</v>
      </c>
      <c r="J404" s="26" t="s">
        <v>6224</v>
      </c>
      <c r="K404" s="27"/>
      <c r="L404" s="28" t="s">
        <v>6223</v>
      </c>
      <c r="M404" s="29" t="str">
        <f t="shared" si="30"/>
        <v>✓ OK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2065</v>
      </c>
      <c r="C405" s="25" t="s">
        <v>2066</v>
      </c>
      <c r="D405" s="23" t="s">
        <v>1266</v>
      </c>
      <c r="E405" s="46">
        <v>46125</v>
      </c>
      <c r="F405" s="26" t="s">
        <v>6222</v>
      </c>
      <c r="G405" s="26" t="s">
        <v>6224</v>
      </c>
      <c r="H405" s="26" t="s">
        <v>6223</v>
      </c>
      <c r="I405" s="26" t="s">
        <v>6225</v>
      </c>
      <c r="J405" s="26" t="s">
        <v>6224</v>
      </c>
      <c r="K405" s="27"/>
      <c r="L405" s="28" t="s">
        <v>6223</v>
      </c>
      <c r="M405" s="29" t="str">
        <f t="shared" si="30"/>
        <v>✓ OK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2067</v>
      </c>
      <c r="C406" s="44" t="s">
        <v>2068</v>
      </c>
      <c r="D406" s="42" t="s">
        <v>1266</v>
      </c>
      <c r="E406" s="46">
        <v>46125</v>
      </c>
      <c r="F406" s="26" t="s">
        <v>6222</v>
      </c>
      <c r="G406" s="26" t="s">
        <v>6224</v>
      </c>
      <c r="H406" s="26" t="s">
        <v>6223</v>
      </c>
      <c r="I406" s="26" t="s">
        <v>6225</v>
      </c>
      <c r="J406" s="26" t="s">
        <v>6224</v>
      </c>
      <c r="K406" s="27"/>
      <c r="L406" s="28" t="s">
        <v>6223</v>
      </c>
      <c r="M406" s="29" t="str">
        <f t="shared" si="30"/>
        <v>✓ OK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2069</v>
      </c>
      <c r="C407" s="25" t="s">
        <v>2070</v>
      </c>
      <c r="D407" s="23" t="s">
        <v>1266</v>
      </c>
      <c r="E407" s="46">
        <v>46125</v>
      </c>
      <c r="F407" s="26" t="s">
        <v>6222</v>
      </c>
      <c r="G407" s="26" t="s">
        <v>6224</v>
      </c>
      <c r="H407" s="26" t="s">
        <v>6223</v>
      </c>
      <c r="I407" s="26" t="s">
        <v>6225</v>
      </c>
      <c r="J407" s="26" t="s">
        <v>6224</v>
      </c>
      <c r="K407" s="27"/>
      <c r="L407" s="28" t="s">
        <v>6223</v>
      </c>
      <c r="M407" s="29" t="str">
        <f t="shared" si="30"/>
        <v>✓ OK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2071</v>
      </c>
      <c r="C408" s="44" t="s">
        <v>2072</v>
      </c>
      <c r="D408" s="42" t="s">
        <v>1266</v>
      </c>
      <c r="E408" s="46">
        <v>46125</v>
      </c>
      <c r="F408" s="26" t="s">
        <v>6222</v>
      </c>
      <c r="G408" s="26" t="s">
        <v>6224</v>
      </c>
      <c r="H408" s="26" t="s">
        <v>6223</v>
      </c>
      <c r="I408" s="26" t="s">
        <v>6225</v>
      </c>
      <c r="J408" s="26" t="s">
        <v>6224</v>
      </c>
      <c r="K408" s="27"/>
      <c r="L408" s="28" t="s">
        <v>6223</v>
      </c>
      <c r="M408" s="29" t="str">
        <f t="shared" si="30"/>
        <v>✓ OK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2073</v>
      </c>
      <c r="C409" s="25" t="s">
        <v>2074</v>
      </c>
      <c r="D409" s="23" t="s">
        <v>1266</v>
      </c>
      <c r="E409" s="46">
        <v>46125</v>
      </c>
      <c r="F409" s="26" t="s">
        <v>6222</v>
      </c>
      <c r="G409" s="26" t="s">
        <v>6224</v>
      </c>
      <c r="H409" s="26" t="s">
        <v>6223</v>
      </c>
      <c r="I409" s="26" t="s">
        <v>6225</v>
      </c>
      <c r="J409" s="26" t="s">
        <v>6224</v>
      </c>
      <c r="K409" s="27"/>
      <c r="L409" s="28" t="s">
        <v>6223</v>
      </c>
      <c r="M409" s="29" t="str">
        <f t="shared" si="30"/>
        <v>✓ OK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2075</v>
      </c>
      <c r="C410" s="44" t="s">
        <v>2076</v>
      </c>
      <c r="D410" s="42" t="s">
        <v>1266</v>
      </c>
      <c r="E410" s="46">
        <v>46125</v>
      </c>
      <c r="F410" s="26" t="s">
        <v>6222</v>
      </c>
      <c r="G410" s="26" t="s">
        <v>6224</v>
      </c>
      <c r="H410" s="26" t="s">
        <v>6223</v>
      </c>
      <c r="I410" s="26" t="s">
        <v>6225</v>
      </c>
      <c r="J410" s="26" t="s">
        <v>6224</v>
      </c>
      <c r="K410" s="27"/>
      <c r="L410" s="28" t="s">
        <v>6223</v>
      </c>
      <c r="M410" s="29" t="str">
        <f t="shared" si="30"/>
        <v>✓ OK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2077</v>
      </c>
      <c r="C411" s="25" t="s">
        <v>2078</v>
      </c>
      <c r="D411" s="23" t="s">
        <v>1266</v>
      </c>
      <c r="E411" s="46">
        <v>46125</v>
      </c>
      <c r="F411" s="26" t="s">
        <v>6222</v>
      </c>
      <c r="G411" s="26" t="s">
        <v>6224</v>
      </c>
      <c r="H411" s="26" t="s">
        <v>6223</v>
      </c>
      <c r="I411" s="26" t="s">
        <v>6225</v>
      </c>
      <c r="J411" s="26" t="s">
        <v>6224</v>
      </c>
      <c r="K411" s="27"/>
      <c r="L411" s="28" t="s">
        <v>6223</v>
      </c>
      <c r="M411" s="29" t="str">
        <f t="shared" si="30"/>
        <v>✓ OK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2079</v>
      </c>
      <c r="C412" s="44" t="s">
        <v>2080</v>
      </c>
      <c r="D412" s="42" t="s">
        <v>1266</v>
      </c>
      <c r="E412" s="46">
        <v>46125</v>
      </c>
      <c r="F412" s="26" t="s">
        <v>6222</v>
      </c>
      <c r="G412" s="26" t="s">
        <v>6224</v>
      </c>
      <c r="H412" s="26" t="s">
        <v>6223</v>
      </c>
      <c r="I412" s="26" t="s">
        <v>6225</v>
      </c>
      <c r="J412" s="26" t="s">
        <v>6224</v>
      </c>
      <c r="K412" s="27"/>
      <c r="L412" s="28" t="s">
        <v>6223</v>
      </c>
      <c r="M412" s="29" t="str">
        <f t="shared" si="30"/>
        <v>✓ OK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2081</v>
      </c>
      <c r="C413" s="25" t="s">
        <v>2082</v>
      </c>
      <c r="D413" s="23" t="s">
        <v>1266</v>
      </c>
      <c r="E413" s="46">
        <v>46125</v>
      </c>
      <c r="F413" s="26" t="s">
        <v>6222</v>
      </c>
      <c r="G413" s="26" t="s">
        <v>6224</v>
      </c>
      <c r="H413" s="26" t="s">
        <v>6223</v>
      </c>
      <c r="I413" s="26" t="s">
        <v>6225</v>
      </c>
      <c r="J413" s="26" t="s">
        <v>6224</v>
      </c>
      <c r="K413" s="27"/>
      <c r="L413" s="28" t="s">
        <v>6223</v>
      </c>
      <c r="M413" s="29" t="str">
        <f t="shared" si="30"/>
        <v>✓ OK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2083</v>
      </c>
      <c r="C414" s="44" t="s">
        <v>2084</v>
      </c>
      <c r="D414" s="42" t="s">
        <v>1266</v>
      </c>
      <c r="E414" s="46">
        <v>46125</v>
      </c>
      <c r="F414" s="26" t="s">
        <v>6222</v>
      </c>
      <c r="G414" s="26" t="s">
        <v>6224</v>
      </c>
      <c r="H414" s="26" t="s">
        <v>6223</v>
      </c>
      <c r="I414" s="26" t="s">
        <v>6225</v>
      </c>
      <c r="J414" s="26" t="s">
        <v>6224</v>
      </c>
      <c r="K414" s="27"/>
      <c r="L414" s="28" t="s">
        <v>6223</v>
      </c>
      <c r="M414" s="29" t="str">
        <f t="shared" si="30"/>
        <v>✓ OK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2085</v>
      </c>
      <c r="C415" s="25" t="s">
        <v>2086</v>
      </c>
      <c r="D415" s="23" t="s">
        <v>1266</v>
      </c>
      <c r="E415" s="46">
        <v>46125</v>
      </c>
      <c r="F415" s="26" t="s">
        <v>6222</v>
      </c>
      <c r="G415" s="26" t="s">
        <v>6224</v>
      </c>
      <c r="H415" s="26" t="s">
        <v>6223</v>
      </c>
      <c r="I415" s="26" t="s">
        <v>6225</v>
      </c>
      <c r="J415" s="26" t="s">
        <v>6224</v>
      </c>
      <c r="K415" s="27"/>
      <c r="L415" s="28" t="s">
        <v>6223</v>
      </c>
      <c r="M415" s="29" t="str">
        <f t="shared" si="30"/>
        <v>✓ OK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2087</v>
      </c>
      <c r="C416" s="44" t="s">
        <v>2088</v>
      </c>
      <c r="D416" s="42" t="s">
        <v>1266</v>
      </c>
      <c r="E416" s="46">
        <v>46125</v>
      </c>
      <c r="F416" s="26" t="s">
        <v>6222</v>
      </c>
      <c r="G416" s="26" t="s">
        <v>6224</v>
      </c>
      <c r="H416" s="26" t="s">
        <v>6223</v>
      </c>
      <c r="I416" s="26" t="s">
        <v>6225</v>
      </c>
      <c r="J416" s="26" t="s">
        <v>6224</v>
      </c>
      <c r="K416" s="27"/>
      <c r="L416" s="28" t="s">
        <v>6223</v>
      </c>
      <c r="M416" s="29" t="str">
        <f t="shared" si="30"/>
        <v>✓ OK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2089</v>
      </c>
      <c r="C417" s="25" t="s">
        <v>2090</v>
      </c>
      <c r="D417" s="23" t="s">
        <v>1266</v>
      </c>
      <c r="E417" s="46">
        <v>46125</v>
      </c>
      <c r="F417" s="26" t="s">
        <v>6222</v>
      </c>
      <c r="G417" s="26" t="s">
        <v>6224</v>
      </c>
      <c r="H417" s="26" t="s">
        <v>6223</v>
      </c>
      <c r="I417" s="26" t="s">
        <v>6225</v>
      </c>
      <c r="J417" s="26" t="s">
        <v>6224</v>
      </c>
      <c r="K417" s="27"/>
      <c r="L417" s="28" t="s">
        <v>6223</v>
      </c>
      <c r="M417" s="29" t="str">
        <f t="shared" si="30"/>
        <v>✓ OK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2091</v>
      </c>
      <c r="C418" s="44" t="s">
        <v>2092</v>
      </c>
      <c r="D418" s="42" t="s">
        <v>1266</v>
      </c>
      <c r="E418" s="46">
        <v>46125</v>
      </c>
      <c r="F418" s="26" t="s">
        <v>6222</v>
      </c>
      <c r="G418" s="26" t="s">
        <v>6224</v>
      </c>
      <c r="H418" s="26" t="s">
        <v>6223</v>
      </c>
      <c r="I418" s="26" t="s">
        <v>6225</v>
      </c>
      <c r="J418" s="26" t="s">
        <v>6224</v>
      </c>
      <c r="K418" s="27"/>
      <c r="L418" s="28" t="s">
        <v>6223</v>
      </c>
      <c r="M418" s="29" t="str">
        <f t="shared" si="30"/>
        <v>✓ OK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2093</v>
      </c>
      <c r="C419" s="25" t="s">
        <v>2094</v>
      </c>
      <c r="D419" s="23" t="s">
        <v>1266</v>
      </c>
      <c r="E419" s="46">
        <v>46125</v>
      </c>
      <c r="F419" s="26" t="s">
        <v>6222</v>
      </c>
      <c r="G419" s="26" t="s">
        <v>6224</v>
      </c>
      <c r="H419" s="26" t="s">
        <v>6223</v>
      </c>
      <c r="I419" s="26" t="s">
        <v>6225</v>
      </c>
      <c r="J419" s="26" t="s">
        <v>6224</v>
      </c>
      <c r="K419" s="27"/>
      <c r="L419" s="28" t="s">
        <v>6223</v>
      </c>
      <c r="M419" s="29" t="str">
        <f t="shared" si="30"/>
        <v>✓ OK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2095</v>
      </c>
      <c r="C420" s="44" t="s">
        <v>2096</v>
      </c>
      <c r="D420" s="42" t="s">
        <v>1266</v>
      </c>
      <c r="E420" s="46">
        <v>46125</v>
      </c>
      <c r="F420" s="26" t="s">
        <v>6222</v>
      </c>
      <c r="G420" s="26" t="s">
        <v>6224</v>
      </c>
      <c r="H420" s="26" t="s">
        <v>6223</v>
      </c>
      <c r="I420" s="26" t="s">
        <v>6225</v>
      </c>
      <c r="J420" s="26" t="s">
        <v>6224</v>
      </c>
      <c r="K420" s="27"/>
      <c r="L420" s="28" t="s">
        <v>6223</v>
      </c>
      <c r="M420" s="29" t="str">
        <f t="shared" si="30"/>
        <v>✓ OK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2097</v>
      </c>
      <c r="C421" s="25" t="s">
        <v>2098</v>
      </c>
      <c r="D421" s="23" t="s">
        <v>1266</v>
      </c>
      <c r="E421" s="46">
        <v>46125</v>
      </c>
      <c r="F421" s="26" t="s">
        <v>6222</v>
      </c>
      <c r="G421" s="26" t="s">
        <v>6224</v>
      </c>
      <c r="H421" s="26" t="s">
        <v>6223</v>
      </c>
      <c r="I421" s="26" t="s">
        <v>6225</v>
      </c>
      <c r="J421" s="26" t="s">
        <v>6224</v>
      </c>
      <c r="K421" s="27"/>
      <c r="L421" s="28" t="s">
        <v>6223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2099</v>
      </c>
      <c r="C422" s="44" t="s">
        <v>2100</v>
      </c>
      <c r="D422" s="42" t="s">
        <v>1266</v>
      </c>
      <c r="E422" s="46">
        <v>46125</v>
      </c>
      <c r="F422" s="26" t="s">
        <v>6222</v>
      </c>
      <c r="G422" s="26" t="s">
        <v>6224</v>
      </c>
      <c r="H422" s="26" t="s">
        <v>6223</v>
      </c>
      <c r="I422" s="26" t="s">
        <v>6225</v>
      </c>
      <c r="J422" s="26" t="s">
        <v>6224</v>
      </c>
      <c r="K422" s="27"/>
      <c r="L422" s="28" t="s">
        <v>6223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2101</v>
      </c>
      <c r="C423" s="25" t="s">
        <v>2102</v>
      </c>
      <c r="D423" s="23" t="s">
        <v>1266</v>
      </c>
      <c r="E423" s="46">
        <v>46125</v>
      </c>
      <c r="F423" s="26" t="s">
        <v>6222</v>
      </c>
      <c r="G423" s="26" t="s">
        <v>6224</v>
      </c>
      <c r="H423" s="26" t="s">
        <v>6223</v>
      </c>
      <c r="I423" s="26" t="s">
        <v>6225</v>
      </c>
      <c r="J423" s="26" t="s">
        <v>6224</v>
      </c>
      <c r="K423" s="27"/>
      <c r="L423" s="28" t="s">
        <v>6223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2103</v>
      </c>
      <c r="C424" s="44" t="s">
        <v>2104</v>
      </c>
      <c r="D424" s="42" t="s">
        <v>1266</v>
      </c>
      <c r="E424" s="46">
        <v>46125</v>
      </c>
      <c r="F424" s="26" t="s">
        <v>6222</v>
      </c>
      <c r="G424" s="26" t="s">
        <v>6224</v>
      </c>
      <c r="H424" s="26" t="s">
        <v>6223</v>
      </c>
      <c r="I424" s="26" t="s">
        <v>6225</v>
      </c>
      <c r="J424" s="26" t="s">
        <v>6224</v>
      </c>
      <c r="K424" s="27"/>
      <c r="L424" s="28" t="s">
        <v>6223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2105</v>
      </c>
      <c r="C425" s="25" t="s">
        <v>2106</v>
      </c>
      <c r="D425" s="23" t="s">
        <v>1266</v>
      </c>
      <c r="E425" s="46">
        <v>46125</v>
      </c>
      <c r="F425" s="26" t="s">
        <v>6222</v>
      </c>
      <c r="G425" s="26" t="s">
        <v>6224</v>
      </c>
      <c r="H425" s="26" t="s">
        <v>6223</v>
      </c>
      <c r="I425" s="26" t="s">
        <v>6225</v>
      </c>
      <c r="J425" s="26" t="s">
        <v>6224</v>
      </c>
      <c r="K425" s="27"/>
      <c r="L425" s="28" t="s">
        <v>6223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2107</v>
      </c>
      <c r="C426" s="44" t="s">
        <v>2108</v>
      </c>
      <c r="D426" s="42" t="s">
        <v>1266</v>
      </c>
      <c r="E426" s="46">
        <v>46125</v>
      </c>
      <c r="F426" s="26" t="s">
        <v>6222</v>
      </c>
      <c r="G426" s="26" t="s">
        <v>6224</v>
      </c>
      <c r="H426" s="26" t="s">
        <v>6223</v>
      </c>
      <c r="I426" s="26" t="s">
        <v>6225</v>
      </c>
      <c r="J426" s="26" t="s">
        <v>6224</v>
      </c>
      <c r="K426" s="27"/>
      <c r="L426" s="28" t="s">
        <v>6223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2109</v>
      </c>
      <c r="C427" s="25" t="s">
        <v>2110</v>
      </c>
      <c r="D427" s="23" t="s">
        <v>1266</v>
      </c>
      <c r="E427" s="46">
        <v>46125</v>
      </c>
      <c r="F427" s="26" t="s">
        <v>6222</v>
      </c>
      <c r="G427" s="26" t="s">
        <v>6224</v>
      </c>
      <c r="H427" s="26" t="s">
        <v>6223</v>
      </c>
      <c r="I427" s="26" t="s">
        <v>6225</v>
      </c>
      <c r="J427" s="26" t="s">
        <v>6224</v>
      </c>
      <c r="K427" s="27"/>
      <c r="L427" s="28" t="s">
        <v>6223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2111</v>
      </c>
      <c r="C428" s="44" t="s">
        <v>2112</v>
      </c>
      <c r="D428" s="42" t="s">
        <v>1266</v>
      </c>
      <c r="E428" s="46">
        <v>46125</v>
      </c>
      <c r="F428" s="26" t="s">
        <v>6222</v>
      </c>
      <c r="G428" s="26" t="s">
        <v>6224</v>
      </c>
      <c r="H428" s="26" t="s">
        <v>6223</v>
      </c>
      <c r="I428" s="26" t="s">
        <v>6225</v>
      </c>
      <c r="J428" s="26" t="s">
        <v>6224</v>
      </c>
      <c r="K428" s="27"/>
      <c r="L428" s="28" t="s">
        <v>6223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2113</v>
      </c>
      <c r="C429" s="25" t="s">
        <v>2114</v>
      </c>
      <c r="D429" s="23" t="s">
        <v>1266</v>
      </c>
      <c r="E429" s="46">
        <v>46125</v>
      </c>
      <c r="F429" s="26" t="s">
        <v>6222</v>
      </c>
      <c r="G429" s="26" t="s">
        <v>6224</v>
      </c>
      <c r="H429" s="26" t="s">
        <v>6223</v>
      </c>
      <c r="I429" s="26" t="s">
        <v>6225</v>
      </c>
      <c r="J429" s="26" t="s">
        <v>6224</v>
      </c>
      <c r="K429" s="27"/>
      <c r="L429" s="28" t="s">
        <v>6223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2115</v>
      </c>
      <c r="C430" s="44" t="s">
        <v>2116</v>
      </c>
      <c r="D430" s="42" t="s">
        <v>1266</v>
      </c>
      <c r="E430" s="46">
        <v>46125</v>
      </c>
      <c r="F430" s="26" t="s">
        <v>6222</v>
      </c>
      <c r="G430" s="26" t="s">
        <v>6224</v>
      </c>
      <c r="H430" s="26" t="s">
        <v>6223</v>
      </c>
      <c r="I430" s="26" t="s">
        <v>6225</v>
      </c>
      <c r="J430" s="26" t="s">
        <v>6224</v>
      </c>
      <c r="K430" s="27"/>
      <c r="L430" s="28" t="s">
        <v>6223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2117</v>
      </c>
      <c r="C431" s="25" t="s">
        <v>2118</v>
      </c>
      <c r="D431" s="23" t="s">
        <v>1266</v>
      </c>
      <c r="E431" s="46">
        <v>46125</v>
      </c>
      <c r="F431" s="26" t="s">
        <v>6222</v>
      </c>
      <c r="G431" s="26" t="s">
        <v>6224</v>
      </c>
      <c r="H431" s="26" t="s">
        <v>6223</v>
      </c>
      <c r="I431" s="26" t="s">
        <v>6225</v>
      </c>
      <c r="J431" s="26" t="s">
        <v>6224</v>
      </c>
      <c r="K431" s="27"/>
      <c r="L431" s="28" t="s">
        <v>6223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2119</v>
      </c>
      <c r="C432" s="44" t="s">
        <v>2120</v>
      </c>
      <c r="D432" s="42" t="s">
        <v>1266</v>
      </c>
      <c r="E432" s="46">
        <v>46125</v>
      </c>
      <c r="F432" s="26" t="s">
        <v>6222</v>
      </c>
      <c r="G432" s="26" t="s">
        <v>6224</v>
      </c>
      <c r="H432" s="26" t="s">
        <v>6223</v>
      </c>
      <c r="I432" s="26" t="s">
        <v>6225</v>
      </c>
      <c r="J432" s="26" t="s">
        <v>6224</v>
      </c>
      <c r="K432" s="27"/>
      <c r="L432" s="28" t="s">
        <v>6223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2121</v>
      </c>
      <c r="C433" s="25" t="s">
        <v>2122</v>
      </c>
      <c r="D433" s="23" t="s">
        <v>1266</v>
      </c>
      <c r="E433" s="46">
        <v>46125</v>
      </c>
      <c r="F433" s="26" t="s">
        <v>6222</v>
      </c>
      <c r="G433" s="26" t="s">
        <v>6224</v>
      </c>
      <c r="H433" s="26" t="s">
        <v>6223</v>
      </c>
      <c r="I433" s="26" t="s">
        <v>6225</v>
      </c>
      <c r="J433" s="26" t="s">
        <v>6224</v>
      </c>
      <c r="K433" s="27"/>
      <c r="L433" s="28" t="s">
        <v>6223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2123</v>
      </c>
      <c r="C434" s="44" t="s">
        <v>2124</v>
      </c>
      <c r="D434" s="42" t="s">
        <v>1266</v>
      </c>
      <c r="E434" s="46">
        <v>46125</v>
      </c>
      <c r="F434" s="26" t="s">
        <v>6222</v>
      </c>
      <c r="G434" s="26" t="s">
        <v>6224</v>
      </c>
      <c r="H434" s="26" t="s">
        <v>6223</v>
      </c>
      <c r="I434" s="26" t="s">
        <v>6225</v>
      </c>
      <c r="J434" s="26" t="s">
        <v>6224</v>
      </c>
      <c r="K434" s="27"/>
      <c r="L434" s="28" t="s">
        <v>6223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2125</v>
      </c>
      <c r="C435" s="25" t="s">
        <v>2126</v>
      </c>
      <c r="D435" s="23" t="s">
        <v>1266</v>
      </c>
      <c r="E435" s="46">
        <v>46125</v>
      </c>
      <c r="F435" s="26" t="s">
        <v>6222</v>
      </c>
      <c r="G435" s="26" t="s">
        <v>6224</v>
      </c>
      <c r="H435" s="26" t="s">
        <v>6223</v>
      </c>
      <c r="I435" s="26" t="s">
        <v>6225</v>
      </c>
      <c r="J435" s="26" t="s">
        <v>6224</v>
      </c>
      <c r="K435" s="27"/>
      <c r="L435" s="28" t="s">
        <v>6223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2127</v>
      </c>
      <c r="C436" s="44" t="s">
        <v>2128</v>
      </c>
      <c r="D436" s="42" t="s">
        <v>1266</v>
      </c>
      <c r="E436" s="46">
        <v>46125</v>
      </c>
      <c r="F436" s="26" t="s">
        <v>6222</v>
      </c>
      <c r="G436" s="26" t="s">
        <v>6224</v>
      </c>
      <c r="H436" s="26" t="s">
        <v>6223</v>
      </c>
      <c r="I436" s="26" t="s">
        <v>6225</v>
      </c>
      <c r="J436" s="26" t="s">
        <v>6224</v>
      </c>
      <c r="K436" s="27"/>
      <c r="L436" s="28" t="s">
        <v>6223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2129</v>
      </c>
      <c r="C437" s="25" t="s">
        <v>2130</v>
      </c>
      <c r="D437" s="23" t="s">
        <v>1266</v>
      </c>
      <c r="E437" s="46">
        <v>46125</v>
      </c>
      <c r="F437" s="26" t="s">
        <v>6222</v>
      </c>
      <c r="G437" s="26" t="s">
        <v>6224</v>
      </c>
      <c r="H437" s="26" t="s">
        <v>6223</v>
      </c>
      <c r="I437" s="26" t="s">
        <v>6225</v>
      </c>
      <c r="J437" s="26" t="s">
        <v>6224</v>
      </c>
      <c r="K437" s="27"/>
      <c r="L437" s="28" t="s">
        <v>6223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2131</v>
      </c>
      <c r="C438" s="44" t="s">
        <v>2132</v>
      </c>
      <c r="D438" s="42" t="s">
        <v>1266</v>
      </c>
      <c r="E438" s="46">
        <v>46125</v>
      </c>
      <c r="F438" s="26" t="s">
        <v>6222</v>
      </c>
      <c r="G438" s="26" t="s">
        <v>6224</v>
      </c>
      <c r="H438" s="26" t="s">
        <v>6223</v>
      </c>
      <c r="I438" s="26" t="s">
        <v>6225</v>
      </c>
      <c r="J438" s="26" t="s">
        <v>6224</v>
      </c>
      <c r="K438" s="27"/>
      <c r="L438" s="28" t="s">
        <v>6223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2133</v>
      </c>
      <c r="C439" s="25" t="s">
        <v>2134</v>
      </c>
      <c r="D439" s="23" t="s">
        <v>1266</v>
      </c>
      <c r="E439" s="46">
        <v>46125</v>
      </c>
      <c r="F439" s="26" t="s">
        <v>6222</v>
      </c>
      <c r="G439" s="26" t="s">
        <v>6224</v>
      </c>
      <c r="H439" s="26" t="s">
        <v>6223</v>
      </c>
      <c r="I439" s="26" t="s">
        <v>6225</v>
      </c>
      <c r="J439" s="26" t="s">
        <v>6224</v>
      </c>
      <c r="K439" s="27"/>
      <c r="L439" s="28" t="s">
        <v>6223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2135</v>
      </c>
      <c r="C440" s="44" t="s">
        <v>2136</v>
      </c>
      <c r="D440" s="42" t="s">
        <v>1266</v>
      </c>
      <c r="E440" s="46">
        <v>46125</v>
      </c>
      <c r="F440" s="26" t="s">
        <v>6222</v>
      </c>
      <c r="G440" s="26" t="s">
        <v>6224</v>
      </c>
      <c r="H440" s="26" t="s">
        <v>6223</v>
      </c>
      <c r="I440" s="26" t="s">
        <v>6225</v>
      </c>
      <c r="J440" s="26" t="s">
        <v>6224</v>
      </c>
      <c r="K440" s="27"/>
      <c r="L440" s="28" t="s">
        <v>6223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2137</v>
      </c>
      <c r="C441" s="25" t="s">
        <v>2138</v>
      </c>
      <c r="D441" s="23" t="s">
        <v>1266</v>
      </c>
      <c r="E441" s="46">
        <v>46125</v>
      </c>
      <c r="F441" s="26" t="s">
        <v>6222</v>
      </c>
      <c r="G441" s="26" t="s">
        <v>6224</v>
      </c>
      <c r="H441" s="26" t="s">
        <v>6223</v>
      </c>
      <c r="I441" s="26" t="s">
        <v>6225</v>
      </c>
      <c r="J441" s="26" t="s">
        <v>6224</v>
      </c>
      <c r="K441" s="27"/>
      <c r="L441" s="28" t="s">
        <v>6223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2139</v>
      </c>
      <c r="C442" s="44" t="s">
        <v>2140</v>
      </c>
      <c r="D442" s="42" t="s">
        <v>1266</v>
      </c>
      <c r="E442" s="46">
        <v>46125</v>
      </c>
      <c r="F442" s="26" t="s">
        <v>6222</v>
      </c>
      <c r="G442" s="26" t="s">
        <v>6224</v>
      </c>
      <c r="H442" s="26" t="s">
        <v>6223</v>
      </c>
      <c r="I442" s="26" t="s">
        <v>6225</v>
      </c>
      <c r="J442" s="26" t="s">
        <v>6224</v>
      </c>
      <c r="K442" s="27"/>
      <c r="L442" s="28" t="s">
        <v>6223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2141</v>
      </c>
      <c r="C443" s="25" t="s">
        <v>2142</v>
      </c>
      <c r="D443" s="23" t="s">
        <v>1266</v>
      </c>
      <c r="E443" s="46">
        <v>46125</v>
      </c>
      <c r="F443" s="26" t="s">
        <v>6222</v>
      </c>
      <c r="G443" s="26" t="s">
        <v>6224</v>
      </c>
      <c r="H443" s="26" t="s">
        <v>6223</v>
      </c>
      <c r="I443" s="26" t="s">
        <v>6225</v>
      </c>
      <c r="J443" s="26" t="s">
        <v>6224</v>
      </c>
      <c r="K443" s="27"/>
      <c r="L443" s="28" t="s">
        <v>6223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2143</v>
      </c>
      <c r="C444" s="44" t="s">
        <v>2144</v>
      </c>
      <c r="D444" s="42" t="s">
        <v>1266</v>
      </c>
      <c r="E444" s="46">
        <v>46125</v>
      </c>
      <c r="F444" s="26" t="s">
        <v>6222</v>
      </c>
      <c r="G444" s="26" t="s">
        <v>6224</v>
      </c>
      <c r="H444" s="26" t="s">
        <v>6223</v>
      </c>
      <c r="I444" s="26" t="s">
        <v>6225</v>
      </c>
      <c r="J444" s="26" t="s">
        <v>6224</v>
      </c>
      <c r="K444" s="27"/>
      <c r="L444" s="28" t="s">
        <v>6223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2145</v>
      </c>
      <c r="C445" s="25" t="s">
        <v>2146</v>
      </c>
      <c r="D445" s="23" t="s">
        <v>1266</v>
      </c>
      <c r="E445" s="46">
        <v>46125</v>
      </c>
      <c r="F445" s="26" t="s">
        <v>6222</v>
      </c>
      <c r="G445" s="26" t="s">
        <v>6224</v>
      </c>
      <c r="H445" s="26" t="s">
        <v>6223</v>
      </c>
      <c r="I445" s="26" t="s">
        <v>6225</v>
      </c>
      <c r="J445" s="26" t="s">
        <v>6224</v>
      </c>
      <c r="K445" s="27"/>
      <c r="L445" s="28" t="s">
        <v>6223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2147</v>
      </c>
      <c r="C446" s="44" t="s">
        <v>2148</v>
      </c>
      <c r="D446" s="42" t="s">
        <v>1266</v>
      </c>
      <c r="E446" s="46">
        <v>46125</v>
      </c>
      <c r="F446" s="26" t="s">
        <v>6222</v>
      </c>
      <c r="G446" s="26" t="s">
        <v>6224</v>
      </c>
      <c r="H446" s="26" t="s">
        <v>6223</v>
      </c>
      <c r="I446" s="26" t="s">
        <v>6225</v>
      </c>
      <c r="J446" s="26" t="s">
        <v>6224</v>
      </c>
      <c r="K446" s="27"/>
      <c r="L446" s="28" t="s">
        <v>6223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2149</v>
      </c>
      <c r="C447" s="25" t="s">
        <v>2150</v>
      </c>
      <c r="D447" s="23" t="s">
        <v>1266</v>
      </c>
      <c r="E447" s="46">
        <v>46125</v>
      </c>
      <c r="F447" s="26" t="s">
        <v>6222</v>
      </c>
      <c r="G447" s="26" t="s">
        <v>6224</v>
      </c>
      <c r="H447" s="26" t="s">
        <v>6223</v>
      </c>
      <c r="I447" s="26" t="s">
        <v>6225</v>
      </c>
      <c r="J447" s="26" t="s">
        <v>6224</v>
      </c>
      <c r="K447" s="27"/>
      <c r="L447" s="28" t="s">
        <v>6223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2151</v>
      </c>
      <c r="C448" s="44" t="s">
        <v>2152</v>
      </c>
      <c r="D448" s="42" t="s">
        <v>1266</v>
      </c>
      <c r="E448" s="46">
        <v>46125</v>
      </c>
      <c r="F448" s="26" t="s">
        <v>6222</v>
      </c>
      <c r="G448" s="26" t="s">
        <v>6224</v>
      </c>
      <c r="H448" s="26" t="s">
        <v>6223</v>
      </c>
      <c r="I448" s="26" t="s">
        <v>6225</v>
      </c>
      <c r="J448" s="26" t="s">
        <v>6224</v>
      </c>
      <c r="K448" s="27"/>
      <c r="L448" s="28" t="s">
        <v>6223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2153</v>
      </c>
      <c r="C449" s="25" t="s">
        <v>2154</v>
      </c>
      <c r="D449" s="23" t="s">
        <v>1266</v>
      </c>
      <c r="E449" s="46">
        <v>46125</v>
      </c>
      <c r="F449" s="26" t="s">
        <v>6222</v>
      </c>
      <c r="G449" s="26" t="s">
        <v>6224</v>
      </c>
      <c r="H449" s="26" t="s">
        <v>6223</v>
      </c>
      <c r="I449" s="26" t="s">
        <v>6225</v>
      </c>
      <c r="J449" s="26" t="s">
        <v>6224</v>
      </c>
      <c r="K449" s="27"/>
      <c r="L449" s="28" t="s">
        <v>6223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2155</v>
      </c>
      <c r="C450" s="44" t="s">
        <v>2156</v>
      </c>
      <c r="D450" s="42" t="s">
        <v>1266</v>
      </c>
      <c r="E450" s="46">
        <v>46125</v>
      </c>
      <c r="F450" s="26" t="s">
        <v>6222</v>
      </c>
      <c r="G450" s="26" t="s">
        <v>6224</v>
      </c>
      <c r="H450" s="26" t="s">
        <v>6223</v>
      </c>
      <c r="I450" s="26" t="s">
        <v>6225</v>
      </c>
      <c r="J450" s="26" t="s">
        <v>6224</v>
      </c>
      <c r="K450" s="27"/>
      <c r="L450" s="28" t="s">
        <v>6223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2157</v>
      </c>
      <c r="C451" s="25" t="s">
        <v>2158</v>
      </c>
      <c r="D451" s="23" t="s">
        <v>1266</v>
      </c>
      <c r="E451" s="46">
        <v>46125</v>
      </c>
      <c r="F451" s="26" t="s">
        <v>6222</v>
      </c>
      <c r="G451" s="26" t="s">
        <v>6224</v>
      </c>
      <c r="H451" s="26" t="s">
        <v>6223</v>
      </c>
      <c r="I451" s="26" t="s">
        <v>6225</v>
      </c>
      <c r="J451" s="26" t="s">
        <v>6224</v>
      </c>
      <c r="K451" s="27"/>
      <c r="L451" s="28" t="s">
        <v>6223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2159</v>
      </c>
      <c r="C452" s="44" t="s">
        <v>2160</v>
      </c>
      <c r="D452" s="42" t="s">
        <v>1266</v>
      </c>
      <c r="E452" s="46">
        <v>46125</v>
      </c>
      <c r="F452" s="26" t="s">
        <v>6222</v>
      </c>
      <c r="G452" s="26" t="s">
        <v>6224</v>
      </c>
      <c r="H452" s="26" t="s">
        <v>6223</v>
      </c>
      <c r="I452" s="26" t="s">
        <v>6225</v>
      </c>
      <c r="J452" s="26" t="s">
        <v>6224</v>
      </c>
      <c r="K452" s="27"/>
      <c r="L452" s="28" t="s">
        <v>6223</v>
      </c>
      <c r="M452" s="29" t="str">
        <f t="shared" si="30"/>
        <v>✓ OK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2161</v>
      </c>
      <c r="C453" s="25" t="s">
        <v>2162</v>
      </c>
      <c r="D453" s="23" t="s">
        <v>1266</v>
      </c>
      <c r="E453" s="46">
        <v>46125</v>
      </c>
      <c r="F453" s="26" t="s">
        <v>6222</v>
      </c>
      <c r="G453" s="26" t="s">
        <v>6224</v>
      </c>
      <c r="H453" s="26" t="s">
        <v>6223</v>
      </c>
      <c r="I453" s="26" t="s">
        <v>6225</v>
      </c>
      <c r="J453" s="26" t="s">
        <v>6224</v>
      </c>
      <c r="K453" s="27"/>
      <c r="L453" s="28" t="s">
        <v>6223</v>
      </c>
      <c r="M453" s="29" t="str">
        <f t="shared" ref="M453:M516" si="35">IF(E453="","",IF(H453="Yes","❌ Disc",IF(G453="No","⚠ Missing",IF(J453="Yes","✓ OK","⚠ Check"))))</f>
        <v>✓ OK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2163</v>
      </c>
      <c r="C454" s="44" t="s">
        <v>2164</v>
      </c>
      <c r="D454" s="42" t="s">
        <v>1266</v>
      </c>
      <c r="E454" s="46">
        <v>46125</v>
      </c>
      <c r="F454" s="26" t="s">
        <v>6222</v>
      </c>
      <c r="G454" s="26" t="s">
        <v>6224</v>
      </c>
      <c r="H454" s="26" t="s">
        <v>6223</v>
      </c>
      <c r="I454" s="26" t="s">
        <v>6225</v>
      </c>
      <c r="J454" s="26" t="s">
        <v>6224</v>
      </c>
      <c r="K454" s="27"/>
      <c r="L454" s="28" t="s">
        <v>6223</v>
      </c>
      <c r="M454" s="29" t="str">
        <f t="shared" si="35"/>
        <v>✓ OK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2165</v>
      </c>
      <c r="C455" s="25" t="s">
        <v>2166</v>
      </c>
      <c r="D455" s="23" t="s">
        <v>1266</v>
      </c>
      <c r="E455" s="46">
        <v>46125</v>
      </c>
      <c r="F455" s="26" t="s">
        <v>6222</v>
      </c>
      <c r="G455" s="26" t="s">
        <v>6224</v>
      </c>
      <c r="H455" s="26" t="s">
        <v>6223</v>
      </c>
      <c r="I455" s="26" t="s">
        <v>6225</v>
      </c>
      <c r="J455" s="26" t="s">
        <v>6224</v>
      </c>
      <c r="K455" s="27"/>
      <c r="L455" s="28" t="s">
        <v>6223</v>
      </c>
      <c r="M455" s="29" t="str">
        <f t="shared" si="35"/>
        <v>✓ OK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2167</v>
      </c>
      <c r="C456" s="44" t="s">
        <v>2168</v>
      </c>
      <c r="D456" s="42" t="s">
        <v>1266</v>
      </c>
      <c r="E456" s="46">
        <v>46125</v>
      </c>
      <c r="F456" s="26" t="s">
        <v>6222</v>
      </c>
      <c r="G456" s="26" t="s">
        <v>6224</v>
      </c>
      <c r="H456" s="26" t="s">
        <v>6223</v>
      </c>
      <c r="I456" s="26" t="s">
        <v>6225</v>
      </c>
      <c r="J456" s="26" t="s">
        <v>6224</v>
      </c>
      <c r="K456" s="27"/>
      <c r="L456" s="28" t="s">
        <v>6223</v>
      </c>
      <c r="M456" s="29" t="str">
        <f t="shared" si="35"/>
        <v>✓ OK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2169</v>
      </c>
      <c r="C457" s="25" t="s">
        <v>2170</v>
      </c>
      <c r="D457" s="23" t="s">
        <v>1266</v>
      </c>
      <c r="E457" s="46">
        <v>46125</v>
      </c>
      <c r="F457" s="26" t="s">
        <v>6222</v>
      </c>
      <c r="G457" s="26" t="s">
        <v>6224</v>
      </c>
      <c r="H457" s="26" t="s">
        <v>6223</v>
      </c>
      <c r="I457" s="26" t="s">
        <v>6225</v>
      </c>
      <c r="J457" s="26" t="s">
        <v>6224</v>
      </c>
      <c r="K457" s="27"/>
      <c r="L457" s="28" t="s">
        <v>6223</v>
      </c>
      <c r="M457" s="29" t="str">
        <f t="shared" si="35"/>
        <v>✓ OK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2171</v>
      </c>
      <c r="C458" s="44" t="s">
        <v>2172</v>
      </c>
      <c r="D458" s="42" t="s">
        <v>1266</v>
      </c>
      <c r="E458" s="46">
        <v>46125</v>
      </c>
      <c r="F458" s="26" t="s">
        <v>6222</v>
      </c>
      <c r="G458" s="26" t="s">
        <v>6224</v>
      </c>
      <c r="H458" s="26" t="s">
        <v>6223</v>
      </c>
      <c r="I458" s="26" t="s">
        <v>6225</v>
      </c>
      <c r="J458" s="26" t="s">
        <v>6224</v>
      </c>
      <c r="K458" s="27"/>
      <c r="L458" s="28" t="s">
        <v>6223</v>
      </c>
      <c r="M458" s="29" t="str">
        <f t="shared" si="35"/>
        <v>✓ OK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2173</v>
      </c>
      <c r="C459" s="25" t="s">
        <v>2174</v>
      </c>
      <c r="D459" s="23" t="s">
        <v>1266</v>
      </c>
      <c r="E459" s="46">
        <v>46125</v>
      </c>
      <c r="F459" s="26" t="s">
        <v>6222</v>
      </c>
      <c r="G459" s="26" t="s">
        <v>6224</v>
      </c>
      <c r="H459" s="26" t="s">
        <v>6223</v>
      </c>
      <c r="I459" s="26" t="s">
        <v>6225</v>
      </c>
      <c r="J459" s="26" t="s">
        <v>6224</v>
      </c>
      <c r="K459" s="27"/>
      <c r="L459" s="28" t="s">
        <v>6223</v>
      </c>
      <c r="M459" s="29" t="str">
        <f t="shared" si="35"/>
        <v>✓ OK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2175</v>
      </c>
      <c r="C460" s="44" t="s">
        <v>2176</v>
      </c>
      <c r="D460" s="42" t="s">
        <v>1266</v>
      </c>
      <c r="E460" s="46">
        <v>46125</v>
      </c>
      <c r="F460" s="26" t="s">
        <v>6222</v>
      </c>
      <c r="G460" s="26" t="s">
        <v>6224</v>
      </c>
      <c r="H460" s="26" t="s">
        <v>6223</v>
      </c>
      <c r="I460" s="26" t="s">
        <v>6225</v>
      </c>
      <c r="J460" s="26" t="s">
        <v>6224</v>
      </c>
      <c r="K460" s="27"/>
      <c r="L460" s="28" t="s">
        <v>6223</v>
      </c>
      <c r="M460" s="29" t="str">
        <f t="shared" si="35"/>
        <v>✓ OK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2177</v>
      </c>
      <c r="C461" s="25" t="s">
        <v>2178</v>
      </c>
      <c r="D461" s="23" t="s">
        <v>1266</v>
      </c>
      <c r="E461" s="46">
        <v>46125</v>
      </c>
      <c r="F461" s="26" t="s">
        <v>6222</v>
      </c>
      <c r="G461" s="26" t="s">
        <v>6224</v>
      </c>
      <c r="H461" s="26" t="s">
        <v>6223</v>
      </c>
      <c r="I461" s="26" t="s">
        <v>6225</v>
      </c>
      <c r="J461" s="26" t="s">
        <v>6224</v>
      </c>
      <c r="K461" s="27"/>
      <c r="L461" s="28" t="s">
        <v>6223</v>
      </c>
      <c r="M461" s="29" t="str">
        <f t="shared" si="35"/>
        <v>✓ OK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2179</v>
      </c>
      <c r="C462" s="44" t="s">
        <v>2180</v>
      </c>
      <c r="D462" s="42" t="s">
        <v>1266</v>
      </c>
      <c r="E462" s="46">
        <v>46125</v>
      </c>
      <c r="F462" s="26" t="s">
        <v>6222</v>
      </c>
      <c r="G462" s="26" t="s">
        <v>6224</v>
      </c>
      <c r="H462" s="26" t="s">
        <v>6223</v>
      </c>
      <c r="I462" s="26" t="s">
        <v>6225</v>
      </c>
      <c r="J462" s="26" t="s">
        <v>6224</v>
      </c>
      <c r="K462" s="27"/>
      <c r="L462" s="28" t="s">
        <v>6223</v>
      </c>
      <c r="M462" s="29" t="str">
        <f t="shared" si="35"/>
        <v>✓ OK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2181</v>
      </c>
      <c r="C463" s="25" t="s">
        <v>2182</v>
      </c>
      <c r="D463" s="23" t="s">
        <v>1266</v>
      </c>
      <c r="E463" s="46">
        <v>46125</v>
      </c>
      <c r="F463" s="26" t="s">
        <v>6222</v>
      </c>
      <c r="G463" s="26" t="s">
        <v>6224</v>
      </c>
      <c r="H463" s="26" t="s">
        <v>6223</v>
      </c>
      <c r="I463" s="26" t="s">
        <v>6225</v>
      </c>
      <c r="J463" s="26" t="s">
        <v>6224</v>
      </c>
      <c r="K463" s="27"/>
      <c r="L463" s="28" t="s">
        <v>6223</v>
      </c>
      <c r="M463" s="29" t="str">
        <f t="shared" si="35"/>
        <v>✓ OK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2183</v>
      </c>
      <c r="C464" s="44" t="s">
        <v>2184</v>
      </c>
      <c r="D464" s="42" t="s">
        <v>1266</v>
      </c>
      <c r="E464" s="46">
        <v>46125</v>
      </c>
      <c r="F464" s="26" t="s">
        <v>6222</v>
      </c>
      <c r="G464" s="26" t="s">
        <v>6224</v>
      </c>
      <c r="H464" s="26" t="s">
        <v>6223</v>
      </c>
      <c r="I464" s="26" t="s">
        <v>6225</v>
      </c>
      <c r="J464" s="26" t="s">
        <v>6224</v>
      </c>
      <c r="K464" s="27"/>
      <c r="L464" s="28" t="s">
        <v>6223</v>
      </c>
      <c r="M464" s="29" t="str">
        <f t="shared" si="35"/>
        <v>✓ OK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2185</v>
      </c>
      <c r="C465" s="25" t="s">
        <v>2186</v>
      </c>
      <c r="D465" s="23" t="s">
        <v>1266</v>
      </c>
      <c r="E465" s="46">
        <v>46125</v>
      </c>
      <c r="F465" s="26" t="s">
        <v>6222</v>
      </c>
      <c r="G465" s="26" t="s">
        <v>6224</v>
      </c>
      <c r="H465" s="26" t="s">
        <v>6223</v>
      </c>
      <c r="I465" s="26" t="s">
        <v>6225</v>
      </c>
      <c r="J465" s="26" t="s">
        <v>6224</v>
      </c>
      <c r="K465" s="27"/>
      <c r="L465" s="28" t="s">
        <v>6223</v>
      </c>
      <c r="M465" s="29" t="str">
        <f t="shared" si="35"/>
        <v>✓ OK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2187</v>
      </c>
      <c r="C466" s="44" t="s">
        <v>2188</v>
      </c>
      <c r="D466" s="42" t="s">
        <v>1266</v>
      </c>
      <c r="E466" s="46">
        <v>46125</v>
      </c>
      <c r="F466" s="26" t="s">
        <v>6222</v>
      </c>
      <c r="G466" s="26" t="s">
        <v>6224</v>
      </c>
      <c r="H466" s="26" t="s">
        <v>6223</v>
      </c>
      <c r="I466" s="26" t="s">
        <v>6225</v>
      </c>
      <c r="J466" s="26" t="s">
        <v>6224</v>
      </c>
      <c r="K466" s="27"/>
      <c r="L466" s="28" t="s">
        <v>6223</v>
      </c>
      <c r="M466" s="29" t="str">
        <f t="shared" si="35"/>
        <v>✓ OK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2189</v>
      </c>
      <c r="C467" s="25" t="s">
        <v>2190</v>
      </c>
      <c r="D467" s="23" t="s">
        <v>1266</v>
      </c>
      <c r="E467" s="46">
        <v>46125</v>
      </c>
      <c r="F467" s="26" t="s">
        <v>6222</v>
      </c>
      <c r="G467" s="26" t="s">
        <v>6224</v>
      </c>
      <c r="H467" s="26" t="s">
        <v>6223</v>
      </c>
      <c r="I467" s="26" t="s">
        <v>6225</v>
      </c>
      <c r="J467" s="26" t="s">
        <v>6224</v>
      </c>
      <c r="K467" s="27"/>
      <c r="L467" s="28" t="s">
        <v>6223</v>
      </c>
      <c r="M467" s="29" t="str">
        <f t="shared" si="35"/>
        <v>✓ OK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2191</v>
      </c>
      <c r="C468" s="44" t="s">
        <v>2192</v>
      </c>
      <c r="D468" s="42" t="s">
        <v>1266</v>
      </c>
      <c r="E468" s="46">
        <v>46125</v>
      </c>
      <c r="F468" s="26" t="s">
        <v>6222</v>
      </c>
      <c r="G468" s="26" t="s">
        <v>6224</v>
      </c>
      <c r="H468" s="26" t="s">
        <v>6223</v>
      </c>
      <c r="I468" s="26" t="s">
        <v>6225</v>
      </c>
      <c r="J468" s="26" t="s">
        <v>6224</v>
      </c>
      <c r="K468" s="27"/>
      <c r="L468" s="28" t="s">
        <v>6223</v>
      </c>
      <c r="M468" s="29" t="str">
        <f t="shared" si="35"/>
        <v>✓ OK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2193</v>
      </c>
      <c r="C469" s="25" t="s">
        <v>2194</v>
      </c>
      <c r="D469" s="23" t="s">
        <v>1266</v>
      </c>
      <c r="E469" s="46">
        <v>46125</v>
      </c>
      <c r="F469" s="26" t="s">
        <v>6222</v>
      </c>
      <c r="G469" s="26" t="s">
        <v>6224</v>
      </c>
      <c r="H469" s="26" t="s">
        <v>6223</v>
      </c>
      <c r="I469" s="26" t="s">
        <v>6225</v>
      </c>
      <c r="J469" s="26" t="s">
        <v>6224</v>
      </c>
      <c r="K469" s="27"/>
      <c r="L469" s="28" t="s">
        <v>6223</v>
      </c>
      <c r="M469" s="29" t="str">
        <f t="shared" si="35"/>
        <v>✓ OK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2195</v>
      </c>
      <c r="C470" s="44" t="s">
        <v>2196</v>
      </c>
      <c r="D470" s="42" t="s">
        <v>1266</v>
      </c>
      <c r="E470" s="46">
        <v>46125</v>
      </c>
      <c r="F470" s="26" t="s">
        <v>6222</v>
      </c>
      <c r="G470" s="26" t="s">
        <v>6224</v>
      </c>
      <c r="H470" s="26" t="s">
        <v>6223</v>
      </c>
      <c r="I470" s="26" t="s">
        <v>6225</v>
      </c>
      <c r="J470" s="26" t="s">
        <v>6224</v>
      </c>
      <c r="K470" s="27"/>
      <c r="L470" s="28" t="s">
        <v>6223</v>
      </c>
      <c r="M470" s="29" t="str">
        <f t="shared" si="35"/>
        <v>✓ OK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2197</v>
      </c>
      <c r="C471" s="25" t="s">
        <v>2198</v>
      </c>
      <c r="D471" s="23" t="s">
        <v>1266</v>
      </c>
      <c r="E471" s="46">
        <v>46125</v>
      </c>
      <c r="F471" s="26" t="s">
        <v>6222</v>
      </c>
      <c r="G471" s="26" t="s">
        <v>6224</v>
      </c>
      <c r="H471" s="26" t="s">
        <v>6223</v>
      </c>
      <c r="I471" s="26" t="s">
        <v>6225</v>
      </c>
      <c r="J471" s="26" t="s">
        <v>6224</v>
      </c>
      <c r="K471" s="27"/>
      <c r="L471" s="28" t="s">
        <v>6223</v>
      </c>
      <c r="M471" s="29" t="str">
        <f t="shared" si="35"/>
        <v>✓ OK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2199</v>
      </c>
      <c r="C472" s="44" t="s">
        <v>2200</v>
      </c>
      <c r="D472" s="42" t="s">
        <v>1266</v>
      </c>
      <c r="E472" s="46">
        <v>46125</v>
      </c>
      <c r="F472" s="26" t="s">
        <v>6222</v>
      </c>
      <c r="G472" s="26" t="s">
        <v>6224</v>
      </c>
      <c r="H472" s="26" t="s">
        <v>6223</v>
      </c>
      <c r="I472" s="26" t="s">
        <v>6225</v>
      </c>
      <c r="J472" s="26" t="s">
        <v>6224</v>
      </c>
      <c r="K472" s="27"/>
      <c r="L472" s="28" t="s">
        <v>6223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2201</v>
      </c>
      <c r="C473" s="25" t="s">
        <v>2202</v>
      </c>
      <c r="D473" s="23" t="s">
        <v>1266</v>
      </c>
      <c r="E473" s="46">
        <v>46125</v>
      </c>
      <c r="F473" s="26" t="s">
        <v>6222</v>
      </c>
      <c r="G473" s="26" t="s">
        <v>6224</v>
      </c>
      <c r="H473" s="26" t="s">
        <v>6223</v>
      </c>
      <c r="I473" s="26" t="s">
        <v>6225</v>
      </c>
      <c r="J473" s="26" t="s">
        <v>6224</v>
      </c>
      <c r="K473" s="27"/>
      <c r="L473" s="28" t="s">
        <v>6223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2203</v>
      </c>
      <c r="C474" s="44" t="s">
        <v>2204</v>
      </c>
      <c r="D474" s="42" t="s">
        <v>1266</v>
      </c>
      <c r="E474" s="46">
        <v>46125</v>
      </c>
      <c r="F474" s="26" t="s">
        <v>6222</v>
      </c>
      <c r="G474" s="26" t="s">
        <v>6224</v>
      </c>
      <c r="H474" s="26" t="s">
        <v>6223</v>
      </c>
      <c r="I474" s="26" t="s">
        <v>6225</v>
      </c>
      <c r="J474" s="26" t="s">
        <v>6224</v>
      </c>
      <c r="K474" s="27"/>
      <c r="L474" s="28" t="s">
        <v>6223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2205</v>
      </c>
      <c r="C475" s="25" t="s">
        <v>2206</v>
      </c>
      <c r="D475" s="23" t="s">
        <v>1266</v>
      </c>
      <c r="E475" s="46">
        <v>46125</v>
      </c>
      <c r="F475" s="26" t="s">
        <v>6222</v>
      </c>
      <c r="G475" s="26" t="s">
        <v>6224</v>
      </c>
      <c r="H475" s="26" t="s">
        <v>6223</v>
      </c>
      <c r="I475" s="26" t="s">
        <v>6225</v>
      </c>
      <c r="J475" s="26" t="s">
        <v>6224</v>
      </c>
      <c r="K475" s="27"/>
      <c r="L475" s="28" t="s">
        <v>6223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2207</v>
      </c>
      <c r="C476" s="44" t="s">
        <v>2208</v>
      </c>
      <c r="D476" s="42" t="s">
        <v>1266</v>
      </c>
      <c r="E476" s="46">
        <v>46125</v>
      </c>
      <c r="F476" s="26" t="s">
        <v>6222</v>
      </c>
      <c r="G476" s="26" t="s">
        <v>6224</v>
      </c>
      <c r="H476" s="26" t="s">
        <v>6223</v>
      </c>
      <c r="I476" s="26" t="s">
        <v>6225</v>
      </c>
      <c r="J476" s="26" t="s">
        <v>6224</v>
      </c>
      <c r="K476" s="27"/>
      <c r="L476" s="28" t="s">
        <v>6223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2209</v>
      </c>
      <c r="C477" s="25" t="s">
        <v>2210</v>
      </c>
      <c r="D477" s="23" t="s">
        <v>1266</v>
      </c>
      <c r="E477" s="46">
        <v>46125</v>
      </c>
      <c r="F477" s="26" t="s">
        <v>6222</v>
      </c>
      <c r="G477" s="26" t="s">
        <v>6224</v>
      </c>
      <c r="H477" s="26" t="s">
        <v>6223</v>
      </c>
      <c r="I477" s="26" t="s">
        <v>6225</v>
      </c>
      <c r="J477" s="26" t="s">
        <v>6224</v>
      </c>
      <c r="K477" s="27"/>
      <c r="L477" s="28" t="s">
        <v>6223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2211</v>
      </c>
      <c r="C478" s="44" t="s">
        <v>2212</v>
      </c>
      <c r="D478" s="42" t="s">
        <v>1266</v>
      </c>
      <c r="E478" s="46">
        <v>46125</v>
      </c>
      <c r="F478" s="26" t="s">
        <v>6222</v>
      </c>
      <c r="G478" s="26" t="s">
        <v>6224</v>
      </c>
      <c r="H478" s="26" t="s">
        <v>6223</v>
      </c>
      <c r="I478" s="26" t="s">
        <v>6225</v>
      </c>
      <c r="J478" s="26" t="s">
        <v>6224</v>
      </c>
      <c r="K478" s="27"/>
      <c r="L478" s="28" t="s">
        <v>6223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2213</v>
      </c>
      <c r="C479" s="25" t="s">
        <v>2214</v>
      </c>
      <c r="D479" s="23" t="s">
        <v>1266</v>
      </c>
      <c r="E479" s="46">
        <v>46125</v>
      </c>
      <c r="F479" s="26" t="s">
        <v>6222</v>
      </c>
      <c r="G479" s="26" t="s">
        <v>6224</v>
      </c>
      <c r="H479" s="26" t="s">
        <v>6223</v>
      </c>
      <c r="I479" s="26" t="s">
        <v>6225</v>
      </c>
      <c r="J479" s="26" t="s">
        <v>6224</v>
      </c>
      <c r="K479" s="27"/>
      <c r="L479" s="28" t="s">
        <v>6223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2215</v>
      </c>
      <c r="C480" s="44" t="s">
        <v>2216</v>
      </c>
      <c r="D480" s="42" t="s">
        <v>1266</v>
      </c>
      <c r="E480" s="46">
        <v>46125</v>
      </c>
      <c r="F480" s="26" t="s">
        <v>6222</v>
      </c>
      <c r="G480" s="26" t="s">
        <v>6224</v>
      </c>
      <c r="H480" s="26" t="s">
        <v>6223</v>
      </c>
      <c r="I480" s="26" t="s">
        <v>6225</v>
      </c>
      <c r="J480" s="26" t="s">
        <v>6224</v>
      </c>
      <c r="K480" s="27"/>
      <c r="L480" s="28" t="s">
        <v>6223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2217</v>
      </c>
      <c r="C481" s="25" t="s">
        <v>2218</v>
      </c>
      <c r="D481" s="23" t="s">
        <v>1266</v>
      </c>
      <c r="E481" s="46">
        <v>46125</v>
      </c>
      <c r="F481" s="26" t="s">
        <v>6222</v>
      </c>
      <c r="G481" s="26" t="s">
        <v>6224</v>
      </c>
      <c r="H481" s="26" t="s">
        <v>6223</v>
      </c>
      <c r="I481" s="26" t="s">
        <v>6225</v>
      </c>
      <c r="J481" s="26" t="s">
        <v>6224</v>
      </c>
      <c r="K481" s="27"/>
      <c r="L481" s="28" t="s">
        <v>6223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2219</v>
      </c>
      <c r="C482" s="44" t="s">
        <v>2220</v>
      </c>
      <c r="D482" s="42" t="s">
        <v>1266</v>
      </c>
      <c r="E482" s="46">
        <v>46125</v>
      </c>
      <c r="F482" s="26" t="s">
        <v>6222</v>
      </c>
      <c r="G482" s="26" t="s">
        <v>6224</v>
      </c>
      <c r="H482" s="26" t="s">
        <v>6223</v>
      </c>
      <c r="I482" s="26" t="s">
        <v>6225</v>
      </c>
      <c r="J482" s="26" t="s">
        <v>6224</v>
      </c>
      <c r="K482" s="27"/>
      <c r="L482" s="28" t="s">
        <v>6223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2221</v>
      </c>
      <c r="C483" s="25" t="s">
        <v>2222</v>
      </c>
      <c r="D483" s="23" t="s">
        <v>1266</v>
      </c>
      <c r="E483" s="46">
        <v>46125</v>
      </c>
      <c r="F483" s="26" t="s">
        <v>6222</v>
      </c>
      <c r="G483" s="26" t="s">
        <v>6224</v>
      </c>
      <c r="H483" s="26" t="s">
        <v>6223</v>
      </c>
      <c r="I483" s="26" t="s">
        <v>6225</v>
      </c>
      <c r="J483" s="26" t="s">
        <v>6224</v>
      </c>
      <c r="K483" s="27"/>
      <c r="L483" s="28" t="s">
        <v>6223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2223</v>
      </c>
      <c r="C484" s="44" t="s">
        <v>2224</v>
      </c>
      <c r="D484" s="42" t="s">
        <v>1266</v>
      </c>
      <c r="E484" s="46">
        <v>46125</v>
      </c>
      <c r="F484" s="26" t="s">
        <v>6222</v>
      </c>
      <c r="G484" s="26" t="s">
        <v>6224</v>
      </c>
      <c r="H484" s="26" t="s">
        <v>6223</v>
      </c>
      <c r="I484" s="26" t="s">
        <v>6225</v>
      </c>
      <c r="J484" s="26" t="s">
        <v>6224</v>
      </c>
      <c r="K484" s="27"/>
      <c r="L484" s="28" t="s">
        <v>6223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2225</v>
      </c>
      <c r="C485" s="25" t="s">
        <v>2226</v>
      </c>
      <c r="D485" s="23" t="s">
        <v>1266</v>
      </c>
      <c r="E485" s="46">
        <v>46125</v>
      </c>
      <c r="F485" s="26" t="s">
        <v>6222</v>
      </c>
      <c r="G485" s="26" t="s">
        <v>6224</v>
      </c>
      <c r="H485" s="26" t="s">
        <v>6223</v>
      </c>
      <c r="I485" s="26" t="s">
        <v>6225</v>
      </c>
      <c r="J485" s="26" t="s">
        <v>6224</v>
      </c>
      <c r="K485" s="27"/>
      <c r="L485" s="28" t="s">
        <v>6223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2227</v>
      </c>
      <c r="C486" s="44" t="s">
        <v>2228</v>
      </c>
      <c r="D486" s="42" t="s">
        <v>1266</v>
      </c>
      <c r="E486" s="46">
        <v>46125</v>
      </c>
      <c r="F486" s="26" t="s">
        <v>6222</v>
      </c>
      <c r="G486" s="26" t="s">
        <v>6224</v>
      </c>
      <c r="H486" s="26" t="s">
        <v>6223</v>
      </c>
      <c r="I486" s="26" t="s">
        <v>6225</v>
      </c>
      <c r="J486" s="26" t="s">
        <v>6224</v>
      </c>
      <c r="K486" s="27"/>
      <c r="L486" s="28" t="s">
        <v>6223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2229</v>
      </c>
      <c r="C487" s="25" t="s">
        <v>2230</v>
      </c>
      <c r="D487" s="23" t="s">
        <v>1266</v>
      </c>
      <c r="E487" s="46">
        <v>46125</v>
      </c>
      <c r="F487" s="26" t="s">
        <v>6222</v>
      </c>
      <c r="G487" s="26" t="s">
        <v>6224</v>
      </c>
      <c r="H487" s="26" t="s">
        <v>6223</v>
      </c>
      <c r="I487" s="26" t="s">
        <v>6225</v>
      </c>
      <c r="J487" s="26" t="s">
        <v>6224</v>
      </c>
      <c r="K487" s="27"/>
      <c r="L487" s="28" t="s">
        <v>6223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2231</v>
      </c>
      <c r="C488" s="44" t="s">
        <v>2232</v>
      </c>
      <c r="D488" s="42" t="s">
        <v>1266</v>
      </c>
      <c r="E488" s="46">
        <v>46125</v>
      </c>
      <c r="F488" s="26" t="s">
        <v>6222</v>
      </c>
      <c r="G488" s="26" t="s">
        <v>6224</v>
      </c>
      <c r="H488" s="26" t="s">
        <v>6223</v>
      </c>
      <c r="I488" s="26" t="s">
        <v>6225</v>
      </c>
      <c r="J488" s="26" t="s">
        <v>6224</v>
      </c>
      <c r="K488" s="27"/>
      <c r="L488" s="28" t="s">
        <v>6223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2233</v>
      </c>
      <c r="C489" s="25" t="s">
        <v>2234</v>
      </c>
      <c r="D489" s="23" t="s">
        <v>2235</v>
      </c>
      <c r="E489" s="4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2236</v>
      </c>
      <c r="C490" s="44" t="s">
        <v>2237</v>
      </c>
      <c r="D490" s="42" t="s">
        <v>2235</v>
      </c>
      <c r="E490" s="4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2238</v>
      </c>
      <c r="C491" s="25" t="s">
        <v>2239</v>
      </c>
      <c r="D491" s="23" t="s">
        <v>2235</v>
      </c>
      <c r="E491" s="4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2240</v>
      </c>
      <c r="C492" s="44" t="s">
        <v>2241</v>
      </c>
      <c r="D492" s="42" t="s">
        <v>2235</v>
      </c>
      <c r="E492" s="4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2242</v>
      </c>
      <c r="C493" s="25" t="s">
        <v>2243</v>
      </c>
      <c r="D493" s="23" t="s">
        <v>2235</v>
      </c>
      <c r="E493" s="4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2244</v>
      </c>
      <c r="C494" s="44" t="s">
        <v>2245</v>
      </c>
      <c r="D494" s="42" t="s">
        <v>2235</v>
      </c>
      <c r="E494" s="4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2246</v>
      </c>
      <c r="C495" s="25" t="s">
        <v>2247</v>
      </c>
      <c r="D495" s="23" t="s">
        <v>2235</v>
      </c>
      <c r="E495" s="4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2248</v>
      </c>
      <c r="C496" s="44" t="s">
        <v>2249</v>
      </c>
      <c r="D496" s="42" t="s">
        <v>2235</v>
      </c>
      <c r="E496" s="4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2250</v>
      </c>
      <c r="C497" s="25" t="s">
        <v>2251</v>
      </c>
      <c r="D497" s="23" t="s">
        <v>2235</v>
      </c>
      <c r="E497" s="4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2252</v>
      </c>
      <c r="C498" s="44" t="s">
        <v>2253</v>
      </c>
      <c r="D498" s="42" t="s">
        <v>2235</v>
      </c>
      <c r="E498" s="4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2254</v>
      </c>
      <c r="C499" s="25" t="s">
        <v>2255</v>
      </c>
      <c r="D499" s="23" t="s">
        <v>2235</v>
      </c>
      <c r="E499" s="4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2256</v>
      </c>
      <c r="C500" s="44" t="s">
        <v>2257</v>
      </c>
      <c r="D500" s="42" t="s">
        <v>2235</v>
      </c>
      <c r="E500" s="4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2258</v>
      </c>
      <c r="C501" s="25" t="s">
        <v>2259</v>
      </c>
      <c r="D501" s="23" t="s">
        <v>2235</v>
      </c>
      <c r="E501" s="4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2260</v>
      </c>
      <c r="C502" s="44" t="s">
        <v>2261</v>
      </c>
      <c r="D502" s="42" t="s">
        <v>2235</v>
      </c>
      <c r="E502" s="4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2262</v>
      </c>
      <c r="C503" s="25" t="s">
        <v>2263</v>
      </c>
      <c r="D503" s="23" t="s">
        <v>2235</v>
      </c>
      <c r="E503" s="4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2264</v>
      </c>
      <c r="C504" s="44" t="s">
        <v>2265</v>
      </c>
      <c r="D504" s="42" t="s">
        <v>2235</v>
      </c>
      <c r="E504" s="4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2266</v>
      </c>
      <c r="C505" s="25" t="s">
        <v>2267</v>
      </c>
      <c r="D505" s="23" t="s">
        <v>2235</v>
      </c>
      <c r="E505" s="4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2268</v>
      </c>
      <c r="C506" s="44" t="s">
        <v>2269</v>
      </c>
      <c r="D506" s="42" t="s">
        <v>2235</v>
      </c>
      <c r="E506" s="4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2270</v>
      </c>
      <c r="C507" s="25" t="s">
        <v>2271</v>
      </c>
      <c r="D507" s="23" t="s">
        <v>2235</v>
      </c>
      <c r="E507" s="4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2272</v>
      </c>
      <c r="C508" s="44" t="s">
        <v>2273</v>
      </c>
      <c r="D508" s="42" t="s">
        <v>2235</v>
      </c>
      <c r="E508" s="4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2274</v>
      </c>
      <c r="C509" s="25" t="s">
        <v>2275</v>
      </c>
      <c r="D509" s="23" t="s">
        <v>2235</v>
      </c>
      <c r="E509" s="4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2276</v>
      </c>
      <c r="C510" s="44" t="s">
        <v>2277</v>
      </c>
      <c r="D510" s="42" t="s">
        <v>2235</v>
      </c>
      <c r="E510" s="4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2278</v>
      </c>
      <c r="C511" s="25" t="s">
        <v>2279</v>
      </c>
      <c r="D511" s="23" t="s">
        <v>2235</v>
      </c>
      <c r="E511" s="4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2280</v>
      </c>
      <c r="C512" s="44" t="s">
        <v>2281</v>
      </c>
      <c r="D512" s="42" t="s">
        <v>2235</v>
      </c>
      <c r="E512" s="4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2282</v>
      </c>
      <c r="C513" s="25" t="s">
        <v>2283</v>
      </c>
      <c r="D513" s="23" t="s">
        <v>2235</v>
      </c>
      <c r="E513" s="4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2284</v>
      </c>
      <c r="C514" s="44" t="s">
        <v>2285</v>
      </c>
      <c r="D514" s="42" t="s">
        <v>2235</v>
      </c>
      <c r="E514" s="4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2286</v>
      </c>
      <c r="C515" s="25" t="s">
        <v>2287</v>
      </c>
      <c r="D515" s="23" t="s">
        <v>2235</v>
      </c>
      <c r="E515" s="4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2288</v>
      </c>
      <c r="C516" s="44" t="s">
        <v>2289</v>
      </c>
      <c r="D516" s="42" t="s">
        <v>2235</v>
      </c>
      <c r="E516" s="4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2290</v>
      </c>
      <c r="C517" s="25" t="s">
        <v>2291</v>
      </c>
      <c r="D517" s="23" t="s">
        <v>2235</v>
      </c>
      <c r="E517" s="46"/>
      <c r="F517" s="26"/>
      <c r="G517" s="26"/>
      <c r="H517" s="26"/>
      <c r="I517" s="26"/>
      <c r="J517" s="26"/>
      <c r="K517" s="27"/>
      <c r="L517" s="28"/>
      <c r="M517" s="29" t="str">
        <f t="shared" ref="M517:M580" si="40">IF(E517="","",IF(H517="Yes","❌ Disc",IF(G517="No","⚠ Missing",IF(J517="Yes","✓ OK","⚠ Check"))))</f>
        <v/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2292</v>
      </c>
      <c r="C518" s="44" t="s">
        <v>2293</v>
      </c>
      <c r="D518" s="42" t="s">
        <v>2235</v>
      </c>
      <c r="E518" s="46"/>
      <c r="F518" s="26"/>
      <c r="G518" s="26"/>
      <c r="H518" s="26"/>
      <c r="I518" s="26"/>
      <c r="J518" s="26"/>
      <c r="K518" s="27"/>
      <c r="L518" s="28"/>
      <c r="M518" s="29" t="str">
        <f t="shared" si="40"/>
        <v/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2294</v>
      </c>
      <c r="C519" s="25" t="s">
        <v>2295</v>
      </c>
      <c r="D519" s="23" t="s">
        <v>2235</v>
      </c>
      <c r="E519" s="46"/>
      <c r="F519" s="26"/>
      <c r="G519" s="26"/>
      <c r="H519" s="26"/>
      <c r="I519" s="26"/>
      <c r="J519" s="26"/>
      <c r="K519" s="27"/>
      <c r="L519" s="28"/>
      <c r="M519" s="29" t="str">
        <f t="shared" si="40"/>
        <v/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2296</v>
      </c>
      <c r="C520" s="44" t="s">
        <v>2297</v>
      </c>
      <c r="D520" s="42" t="s">
        <v>2235</v>
      </c>
      <c r="E520" s="46"/>
      <c r="F520" s="26"/>
      <c r="G520" s="26"/>
      <c r="H520" s="26"/>
      <c r="I520" s="26"/>
      <c r="J520" s="26"/>
      <c r="K520" s="27"/>
      <c r="L520" s="28"/>
      <c r="M520" s="29" t="str">
        <f t="shared" si="40"/>
        <v/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2298</v>
      </c>
      <c r="C521" s="25" t="s">
        <v>2299</v>
      </c>
      <c r="D521" s="23" t="s">
        <v>2235</v>
      </c>
      <c r="E521" s="46"/>
      <c r="F521" s="26"/>
      <c r="G521" s="26"/>
      <c r="H521" s="26"/>
      <c r="I521" s="26"/>
      <c r="J521" s="26"/>
      <c r="K521" s="27"/>
      <c r="L521" s="28"/>
      <c r="M521" s="29" t="str">
        <f t="shared" si="40"/>
        <v/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2300</v>
      </c>
      <c r="C522" s="44" t="s">
        <v>2301</v>
      </c>
      <c r="D522" s="42" t="s">
        <v>2235</v>
      </c>
      <c r="E522" s="46"/>
      <c r="F522" s="26"/>
      <c r="G522" s="26"/>
      <c r="H522" s="26"/>
      <c r="I522" s="26"/>
      <c r="J522" s="26"/>
      <c r="K522" s="27"/>
      <c r="L522" s="28"/>
      <c r="M522" s="29" t="str">
        <f t="shared" si="40"/>
        <v/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2302</v>
      </c>
      <c r="C523" s="25" t="s">
        <v>2303</v>
      </c>
      <c r="D523" s="23" t="s">
        <v>2235</v>
      </c>
      <c r="E523" s="46"/>
      <c r="F523" s="26"/>
      <c r="G523" s="26"/>
      <c r="H523" s="26"/>
      <c r="I523" s="26"/>
      <c r="J523" s="26"/>
      <c r="K523" s="27"/>
      <c r="L523" s="28"/>
      <c r="M523" s="29" t="str">
        <f t="shared" si="40"/>
        <v/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2304</v>
      </c>
      <c r="C524" s="44" t="s">
        <v>2305</v>
      </c>
      <c r="D524" s="42" t="s">
        <v>2235</v>
      </c>
      <c r="E524" s="46"/>
      <c r="F524" s="26"/>
      <c r="G524" s="26"/>
      <c r="H524" s="26"/>
      <c r="I524" s="26"/>
      <c r="J524" s="26"/>
      <c r="K524" s="27"/>
      <c r="L524" s="28"/>
      <c r="M524" s="29" t="str">
        <f t="shared" si="40"/>
        <v/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2306</v>
      </c>
      <c r="C525" s="25" t="s">
        <v>2307</v>
      </c>
      <c r="D525" s="23" t="s">
        <v>2235</v>
      </c>
      <c r="E525" s="46"/>
      <c r="F525" s="26"/>
      <c r="G525" s="26"/>
      <c r="H525" s="26"/>
      <c r="I525" s="26"/>
      <c r="J525" s="26"/>
      <c r="K525" s="27"/>
      <c r="L525" s="28"/>
      <c r="M525" s="29" t="str">
        <f t="shared" si="40"/>
        <v/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2308</v>
      </c>
      <c r="C526" s="44" t="s">
        <v>2309</v>
      </c>
      <c r="D526" s="42" t="s">
        <v>2235</v>
      </c>
      <c r="E526" s="46"/>
      <c r="F526" s="26"/>
      <c r="G526" s="26"/>
      <c r="H526" s="26"/>
      <c r="I526" s="26"/>
      <c r="J526" s="26"/>
      <c r="K526" s="27"/>
      <c r="L526" s="28"/>
      <c r="M526" s="29" t="str">
        <f t="shared" si="40"/>
        <v/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2310</v>
      </c>
      <c r="C527" s="25" t="s">
        <v>2311</v>
      </c>
      <c r="D527" s="23" t="s">
        <v>2235</v>
      </c>
      <c r="E527" s="46"/>
      <c r="F527" s="26"/>
      <c r="G527" s="26"/>
      <c r="H527" s="26"/>
      <c r="I527" s="26"/>
      <c r="J527" s="26"/>
      <c r="K527" s="27"/>
      <c r="L527" s="28"/>
      <c r="M527" s="29" t="str">
        <f t="shared" si="40"/>
        <v/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2312</v>
      </c>
      <c r="C528" s="44" t="s">
        <v>2313</v>
      </c>
      <c r="D528" s="42" t="s">
        <v>2235</v>
      </c>
      <c r="E528" s="46"/>
      <c r="F528" s="26"/>
      <c r="G528" s="26"/>
      <c r="H528" s="26"/>
      <c r="I528" s="26"/>
      <c r="J528" s="26"/>
      <c r="K528" s="27"/>
      <c r="L528" s="28"/>
      <c r="M528" s="29" t="str">
        <f t="shared" si="40"/>
        <v/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2314</v>
      </c>
      <c r="C529" s="25" t="s">
        <v>2315</v>
      </c>
      <c r="D529" s="23" t="s">
        <v>2235</v>
      </c>
      <c r="E529" s="46"/>
      <c r="F529" s="26"/>
      <c r="G529" s="26"/>
      <c r="H529" s="26"/>
      <c r="I529" s="26"/>
      <c r="J529" s="26"/>
      <c r="K529" s="27"/>
      <c r="L529" s="28"/>
      <c r="M529" s="29" t="str">
        <f t="shared" si="40"/>
        <v/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2316</v>
      </c>
      <c r="C530" s="44" t="s">
        <v>2317</v>
      </c>
      <c r="D530" s="42" t="s">
        <v>2235</v>
      </c>
      <c r="E530" s="46"/>
      <c r="F530" s="26"/>
      <c r="G530" s="26"/>
      <c r="H530" s="26"/>
      <c r="I530" s="26"/>
      <c r="J530" s="26"/>
      <c r="K530" s="27"/>
      <c r="L530" s="28"/>
      <c r="M530" s="29" t="str">
        <f t="shared" si="40"/>
        <v/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2318</v>
      </c>
      <c r="C531" s="25" t="s">
        <v>2319</v>
      </c>
      <c r="D531" s="23" t="s">
        <v>2235</v>
      </c>
      <c r="E531" s="46"/>
      <c r="F531" s="26"/>
      <c r="G531" s="26"/>
      <c r="H531" s="26"/>
      <c r="I531" s="26"/>
      <c r="J531" s="26"/>
      <c r="K531" s="27"/>
      <c r="L531" s="28"/>
      <c r="M531" s="29" t="str">
        <f t="shared" si="40"/>
        <v/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2320</v>
      </c>
      <c r="C532" s="44" t="s">
        <v>2321</v>
      </c>
      <c r="D532" s="42" t="s">
        <v>2235</v>
      </c>
      <c r="E532" s="46"/>
      <c r="F532" s="26"/>
      <c r="G532" s="26"/>
      <c r="H532" s="26"/>
      <c r="I532" s="26"/>
      <c r="J532" s="26"/>
      <c r="K532" s="27"/>
      <c r="L532" s="28"/>
      <c r="M532" s="29" t="str">
        <f t="shared" si="40"/>
        <v/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2322</v>
      </c>
      <c r="C533" s="25" t="s">
        <v>2323</v>
      </c>
      <c r="D533" s="23" t="s">
        <v>2235</v>
      </c>
      <c r="E533" s="46"/>
      <c r="F533" s="26"/>
      <c r="G533" s="26"/>
      <c r="H533" s="26"/>
      <c r="I533" s="26"/>
      <c r="J533" s="26"/>
      <c r="K533" s="27"/>
      <c r="L533" s="28"/>
      <c r="M533" s="29" t="str">
        <f t="shared" si="40"/>
        <v/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2324</v>
      </c>
      <c r="C534" s="44" t="s">
        <v>2325</v>
      </c>
      <c r="D534" s="42" t="s">
        <v>2235</v>
      </c>
      <c r="E534" s="46"/>
      <c r="F534" s="26"/>
      <c r="G534" s="26"/>
      <c r="H534" s="26"/>
      <c r="I534" s="26"/>
      <c r="J534" s="26"/>
      <c r="K534" s="27"/>
      <c r="L534" s="28"/>
      <c r="M534" s="29" t="str">
        <f t="shared" si="40"/>
        <v/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2326</v>
      </c>
      <c r="C535" s="25" t="s">
        <v>2327</v>
      </c>
      <c r="D535" s="23" t="s">
        <v>2235</v>
      </c>
      <c r="E535" s="46"/>
      <c r="F535" s="26"/>
      <c r="G535" s="26"/>
      <c r="H535" s="26"/>
      <c r="I535" s="26"/>
      <c r="J535" s="26"/>
      <c r="K535" s="27"/>
      <c r="L535" s="28"/>
      <c r="M535" s="29" t="str">
        <f t="shared" si="40"/>
        <v/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2328</v>
      </c>
      <c r="C536" s="44" t="s">
        <v>2329</v>
      </c>
      <c r="D536" s="42" t="s">
        <v>2235</v>
      </c>
      <c r="E536" s="46"/>
      <c r="F536" s="26"/>
      <c r="G536" s="26"/>
      <c r="H536" s="26"/>
      <c r="I536" s="26"/>
      <c r="J536" s="26"/>
      <c r="K536" s="27"/>
      <c r="L536" s="28"/>
      <c r="M536" s="29" t="str">
        <f t="shared" si="40"/>
        <v/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2330</v>
      </c>
      <c r="C537" s="25" t="s">
        <v>2331</v>
      </c>
      <c r="D537" s="23" t="s">
        <v>2235</v>
      </c>
      <c r="E537" s="46"/>
      <c r="F537" s="26"/>
      <c r="G537" s="26"/>
      <c r="H537" s="26"/>
      <c r="I537" s="26"/>
      <c r="J537" s="26"/>
      <c r="K537" s="27"/>
      <c r="L537" s="28"/>
      <c r="M537" s="29" t="str">
        <f t="shared" si="40"/>
        <v/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2332</v>
      </c>
      <c r="C538" s="44" t="s">
        <v>2333</v>
      </c>
      <c r="D538" s="42" t="s">
        <v>2235</v>
      </c>
      <c r="E538" s="46"/>
      <c r="F538" s="26"/>
      <c r="G538" s="26"/>
      <c r="H538" s="26"/>
      <c r="I538" s="26"/>
      <c r="J538" s="26"/>
      <c r="K538" s="27"/>
      <c r="L538" s="28"/>
      <c r="M538" s="29" t="str">
        <f t="shared" si="40"/>
        <v/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2334</v>
      </c>
      <c r="C539" s="25" t="s">
        <v>2335</v>
      </c>
      <c r="D539" s="23" t="s">
        <v>2235</v>
      </c>
      <c r="E539" s="46"/>
      <c r="F539" s="26"/>
      <c r="G539" s="26"/>
      <c r="H539" s="26"/>
      <c r="I539" s="26"/>
      <c r="J539" s="26"/>
      <c r="K539" s="27"/>
      <c r="L539" s="28"/>
      <c r="M539" s="29" t="str">
        <f t="shared" si="40"/>
        <v/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2336</v>
      </c>
      <c r="C540" s="44" t="s">
        <v>2337</v>
      </c>
      <c r="D540" s="42" t="s">
        <v>2235</v>
      </c>
      <c r="E540" s="46"/>
      <c r="F540" s="26"/>
      <c r="G540" s="26"/>
      <c r="H540" s="26"/>
      <c r="I540" s="26"/>
      <c r="J540" s="26"/>
      <c r="K540" s="27"/>
      <c r="L540" s="28"/>
      <c r="M540" s="29" t="str">
        <f t="shared" si="40"/>
        <v/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2338</v>
      </c>
      <c r="C541" s="25" t="s">
        <v>2339</v>
      </c>
      <c r="D541" s="23" t="s">
        <v>2235</v>
      </c>
      <c r="E541" s="46"/>
      <c r="F541" s="26"/>
      <c r="G541" s="26"/>
      <c r="H541" s="26"/>
      <c r="I541" s="26"/>
      <c r="J541" s="26"/>
      <c r="K541" s="27"/>
      <c r="L541" s="28"/>
      <c r="M541" s="29" t="str">
        <f t="shared" si="40"/>
        <v/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2340</v>
      </c>
      <c r="C542" s="44" t="s">
        <v>2341</v>
      </c>
      <c r="D542" s="42" t="s">
        <v>2235</v>
      </c>
      <c r="E542" s="46"/>
      <c r="F542" s="26"/>
      <c r="G542" s="26"/>
      <c r="H542" s="26"/>
      <c r="I542" s="26"/>
      <c r="J542" s="26"/>
      <c r="K542" s="27"/>
      <c r="L542" s="28"/>
      <c r="M542" s="29" t="str">
        <f t="shared" si="40"/>
        <v/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2342</v>
      </c>
      <c r="C543" s="25" t="s">
        <v>2343</v>
      </c>
      <c r="D543" s="23" t="s">
        <v>2235</v>
      </c>
      <c r="E543" s="46"/>
      <c r="F543" s="26"/>
      <c r="G543" s="26"/>
      <c r="H543" s="26"/>
      <c r="I543" s="26"/>
      <c r="J543" s="26"/>
      <c r="K543" s="27"/>
      <c r="L543" s="28"/>
      <c r="M543" s="29" t="str">
        <f t="shared" si="40"/>
        <v/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2344</v>
      </c>
      <c r="C544" s="44" t="s">
        <v>2345</v>
      </c>
      <c r="D544" s="42" t="s">
        <v>2235</v>
      </c>
      <c r="E544" s="46"/>
      <c r="F544" s="26"/>
      <c r="G544" s="26"/>
      <c r="H544" s="26"/>
      <c r="I544" s="26"/>
      <c r="J544" s="26"/>
      <c r="K544" s="27"/>
      <c r="L544" s="28"/>
      <c r="M544" s="29" t="str">
        <f t="shared" si="40"/>
        <v/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2346</v>
      </c>
      <c r="C545" s="25" t="s">
        <v>2347</v>
      </c>
      <c r="D545" s="23" t="s">
        <v>2235</v>
      </c>
      <c r="E545" s="46"/>
      <c r="F545" s="26"/>
      <c r="G545" s="26"/>
      <c r="H545" s="26"/>
      <c r="I545" s="26"/>
      <c r="J545" s="26"/>
      <c r="K545" s="27"/>
      <c r="L545" s="28"/>
      <c r="M545" s="29" t="str">
        <f t="shared" si="40"/>
        <v/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2348</v>
      </c>
      <c r="C546" s="44" t="s">
        <v>2349</v>
      </c>
      <c r="D546" s="42" t="s">
        <v>2235</v>
      </c>
      <c r="E546" s="46"/>
      <c r="F546" s="26"/>
      <c r="G546" s="26"/>
      <c r="H546" s="26"/>
      <c r="I546" s="26"/>
      <c r="J546" s="26"/>
      <c r="K546" s="27"/>
      <c r="L546" s="28"/>
      <c r="M546" s="29" t="str">
        <f t="shared" si="40"/>
        <v/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2350</v>
      </c>
      <c r="C547" s="25" t="s">
        <v>2351</v>
      </c>
      <c r="D547" s="23" t="s">
        <v>2235</v>
      </c>
      <c r="E547" s="46"/>
      <c r="F547" s="26"/>
      <c r="G547" s="26"/>
      <c r="H547" s="26"/>
      <c r="I547" s="26"/>
      <c r="J547" s="26"/>
      <c r="K547" s="27"/>
      <c r="L547" s="28"/>
      <c r="M547" s="29" t="str">
        <f t="shared" si="40"/>
        <v/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2352</v>
      </c>
      <c r="C548" s="44" t="s">
        <v>2353</v>
      </c>
      <c r="D548" s="42" t="s">
        <v>2235</v>
      </c>
      <c r="E548" s="46"/>
      <c r="F548" s="26"/>
      <c r="G548" s="26"/>
      <c r="H548" s="26"/>
      <c r="I548" s="26"/>
      <c r="J548" s="26"/>
      <c r="K548" s="27"/>
      <c r="L548" s="28"/>
      <c r="M548" s="29" t="str">
        <f t="shared" si="40"/>
        <v/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2354</v>
      </c>
      <c r="C549" s="25" t="s">
        <v>2355</v>
      </c>
      <c r="D549" s="23" t="s">
        <v>2235</v>
      </c>
      <c r="E549" s="46"/>
      <c r="F549" s="26"/>
      <c r="G549" s="26"/>
      <c r="H549" s="26"/>
      <c r="I549" s="26"/>
      <c r="J549" s="26"/>
      <c r="K549" s="27"/>
      <c r="L549" s="28"/>
      <c r="M549" s="29" t="str">
        <f t="shared" si="40"/>
        <v/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2356</v>
      </c>
      <c r="C550" s="44" t="s">
        <v>2357</v>
      </c>
      <c r="D550" s="42" t="s">
        <v>2235</v>
      </c>
      <c r="E550" s="46"/>
      <c r="F550" s="26"/>
      <c r="G550" s="26"/>
      <c r="H550" s="26"/>
      <c r="I550" s="26"/>
      <c r="J550" s="26"/>
      <c r="K550" s="27"/>
      <c r="L550" s="28"/>
      <c r="M550" s="29" t="str">
        <f t="shared" si="40"/>
        <v/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2358</v>
      </c>
      <c r="C551" s="25" t="s">
        <v>2359</v>
      </c>
      <c r="D551" s="23" t="s">
        <v>2235</v>
      </c>
      <c r="E551" s="46"/>
      <c r="F551" s="26"/>
      <c r="G551" s="26"/>
      <c r="H551" s="26"/>
      <c r="I551" s="26"/>
      <c r="J551" s="26"/>
      <c r="K551" s="27"/>
      <c r="L551" s="28"/>
      <c r="M551" s="29" t="str">
        <f t="shared" si="40"/>
        <v/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2360</v>
      </c>
      <c r="C552" s="44" t="s">
        <v>2361</v>
      </c>
      <c r="D552" s="42" t="s">
        <v>2235</v>
      </c>
      <c r="E552" s="46"/>
      <c r="F552" s="26"/>
      <c r="G552" s="26"/>
      <c r="H552" s="26"/>
      <c r="I552" s="26"/>
      <c r="J552" s="26"/>
      <c r="K552" s="27"/>
      <c r="L552" s="28"/>
      <c r="M552" s="29" t="str">
        <f t="shared" si="40"/>
        <v/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2362</v>
      </c>
      <c r="C553" s="25" t="s">
        <v>2363</v>
      </c>
      <c r="D553" s="23" t="s">
        <v>2235</v>
      </c>
      <c r="E553" s="46"/>
      <c r="F553" s="26"/>
      <c r="G553" s="26"/>
      <c r="H553" s="26"/>
      <c r="I553" s="26"/>
      <c r="J553" s="26"/>
      <c r="K553" s="27"/>
      <c r="L553" s="28"/>
      <c r="M553" s="29" t="str">
        <f t="shared" si="40"/>
        <v/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2364</v>
      </c>
      <c r="C554" s="44" t="s">
        <v>2365</v>
      </c>
      <c r="D554" s="42" t="s">
        <v>2235</v>
      </c>
      <c r="E554" s="46"/>
      <c r="F554" s="26"/>
      <c r="G554" s="26"/>
      <c r="H554" s="26"/>
      <c r="I554" s="26"/>
      <c r="J554" s="26"/>
      <c r="K554" s="27"/>
      <c r="L554" s="28"/>
      <c r="M554" s="29" t="str">
        <f t="shared" si="40"/>
        <v/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2366</v>
      </c>
      <c r="C555" s="25" t="s">
        <v>2367</v>
      </c>
      <c r="D555" s="23" t="s">
        <v>2235</v>
      </c>
      <c r="E555" s="46"/>
      <c r="F555" s="26"/>
      <c r="G555" s="26"/>
      <c r="H555" s="26"/>
      <c r="I555" s="26"/>
      <c r="J555" s="26"/>
      <c r="K555" s="27"/>
      <c r="L555" s="28"/>
      <c r="M555" s="29" t="str">
        <f t="shared" si="40"/>
        <v/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2368</v>
      </c>
      <c r="C556" s="44" t="s">
        <v>2369</v>
      </c>
      <c r="D556" s="42" t="s">
        <v>2235</v>
      </c>
      <c r="E556" s="46"/>
      <c r="F556" s="26"/>
      <c r="G556" s="26"/>
      <c r="H556" s="26"/>
      <c r="I556" s="26"/>
      <c r="J556" s="26"/>
      <c r="K556" s="27"/>
      <c r="L556" s="28"/>
      <c r="M556" s="29" t="str">
        <f t="shared" si="40"/>
        <v/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2370</v>
      </c>
      <c r="C557" s="25" t="s">
        <v>2371</v>
      </c>
      <c r="D557" s="23" t="s">
        <v>2235</v>
      </c>
      <c r="E557" s="46"/>
      <c r="F557" s="26"/>
      <c r="G557" s="26"/>
      <c r="H557" s="26"/>
      <c r="I557" s="26"/>
      <c r="J557" s="26"/>
      <c r="K557" s="27"/>
      <c r="L557" s="28"/>
      <c r="M557" s="29" t="str">
        <f t="shared" si="40"/>
        <v/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2372</v>
      </c>
      <c r="C558" s="44" t="s">
        <v>2373</v>
      </c>
      <c r="D558" s="42" t="s">
        <v>2235</v>
      </c>
      <c r="E558" s="46"/>
      <c r="F558" s="26"/>
      <c r="G558" s="26"/>
      <c r="H558" s="26"/>
      <c r="I558" s="26"/>
      <c r="J558" s="26"/>
      <c r="K558" s="27"/>
      <c r="L558" s="28"/>
      <c r="M558" s="29" t="str">
        <f t="shared" si="40"/>
        <v/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2374</v>
      </c>
      <c r="C559" s="25" t="s">
        <v>2375</v>
      </c>
      <c r="D559" s="23" t="s">
        <v>2235</v>
      </c>
      <c r="E559" s="46"/>
      <c r="F559" s="26"/>
      <c r="G559" s="26"/>
      <c r="H559" s="26"/>
      <c r="I559" s="26"/>
      <c r="J559" s="26"/>
      <c r="K559" s="27"/>
      <c r="L559" s="28"/>
      <c r="M559" s="29" t="str">
        <f t="shared" si="40"/>
        <v/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2376</v>
      </c>
      <c r="C560" s="44" t="s">
        <v>2377</v>
      </c>
      <c r="D560" s="42" t="s">
        <v>2235</v>
      </c>
      <c r="E560" s="46"/>
      <c r="F560" s="26"/>
      <c r="G560" s="26"/>
      <c r="H560" s="26"/>
      <c r="I560" s="26"/>
      <c r="J560" s="26"/>
      <c r="K560" s="27"/>
      <c r="L560" s="28"/>
      <c r="M560" s="29" t="str">
        <f t="shared" si="40"/>
        <v/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2378</v>
      </c>
      <c r="C561" s="25" t="s">
        <v>2379</v>
      </c>
      <c r="D561" s="23" t="s">
        <v>2235</v>
      </c>
      <c r="E561" s="46"/>
      <c r="F561" s="26"/>
      <c r="G561" s="26"/>
      <c r="H561" s="26"/>
      <c r="I561" s="26"/>
      <c r="J561" s="26"/>
      <c r="K561" s="27"/>
      <c r="L561" s="28"/>
      <c r="M561" s="29" t="str">
        <f t="shared" si="40"/>
        <v/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2380</v>
      </c>
      <c r="C562" s="44" t="s">
        <v>2381</v>
      </c>
      <c r="D562" s="42" t="s">
        <v>2235</v>
      </c>
      <c r="E562" s="46"/>
      <c r="F562" s="26"/>
      <c r="G562" s="26"/>
      <c r="H562" s="26"/>
      <c r="I562" s="26"/>
      <c r="J562" s="26"/>
      <c r="K562" s="27"/>
      <c r="L562" s="28"/>
      <c r="M562" s="29" t="str">
        <f t="shared" si="40"/>
        <v/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2382</v>
      </c>
      <c r="C563" s="25" t="s">
        <v>2383</v>
      </c>
      <c r="D563" s="23" t="s">
        <v>2235</v>
      </c>
      <c r="E563" s="46"/>
      <c r="F563" s="26"/>
      <c r="G563" s="26"/>
      <c r="H563" s="26"/>
      <c r="I563" s="26"/>
      <c r="J563" s="26"/>
      <c r="K563" s="27"/>
      <c r="L563" s="28"/>
      <c r="M563" s="29" t="str">
        <f t="shared" si="40"/>
        <v/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2384</v>
      </c>
      <c r="C564" s="44" t="s">
        <v>2385</v>
      </c>
      <c r="D564" s="42" t="s">
        <v>2235</v>
      </c>
      <c r="E564" s="46"/>
      <c r="F564" s="26"/>
      <c r="G564" s="26"/>
      <c r="H564" s="26"/>
      <c r="I564" s="26"/>
      <c r="J564" s="26"/>
      <c r="K564" s="27"/>
      <c r="L564" s="28"/>
      <c r="M564" s="29" t="str">
        <f t="shared" si="40"/>
        <v/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2386</v>
      </c>
      <c r="C565" s="25" t="s">
        <v>2387</v>
      </c>
      <c r="D565" s="23" t="s">
        <v>2235</v>
      </c>
      <c r="E565" s="46"/>
      <c r="F565" s="26"/>
      <c r="G565" s="26"/>
      <c r="H565" s="26"/>
      <c r="I565" s="26"/>
      <c r="J565" s="26"/>
      <c r="K565" s="27"/>
      <c r="L565" s="28"/>
      <c r="M565" s="29" t="str">
        <f t="shared" si="40"/>
        <v/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2388</v>
      </c>
      <c r="C566" s="44" t="s">
        <v>2389</v>
      </c>
      <c r="D566" s="42" t="s">
        <v>2235</v>
      </c>
      <c r="E566" s="46"/>
      <c r="F566" s="26"/>
      <c r="G566" s="26"/>
      <c r="H566" s="26"/>
      <c r="I566" s="26"/>
      <c r="J566" s="26"/>
      <c r="K566" s="27"/>
      <c r="L566" s="28"/>
      <c r="M566" s="29" t="str">
        <f t="shared" si="40"/>
        <v/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2390</v>
      </c>
      <c r="C567" s="25" t="s">
        <v>2391</v>
      </c>
      <c r="D567" s="23" t="s">
        <v>2235</v>
      </c>
      <c r="E567" s="46"/>
      <c r="F567" s="26"/>
      <c r="G567" s="26"/>
      <c r="H567" s="26"/>
      <c r="I567" s="26"/>
      <c r="J567" s="26"/>
      <c r="K567" s="27"/>
      <c r="L567" s="28"/>
      <c r="M567" s="29" t="str">
        <f t="shared" si="40"/>
        <v/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2392</v>
      </c>
      <c r="C568" s="44" t="s">
        <v>2393</v>
      </c>
      <c r="D568" s="42" t="s">
        <v>2235</v>
      </c>
      <c r="E568" s="46"/>
      <c r="F568" s="26"/>
      <c r="G568" s="26"/>
      <c r="H568" s="26"/>
      <c r="I568" s="26"/>
      <c r="J568" s="26"/>
      <c r="K568" s="27"/>
      <c r="L568" s="28"/>
      <c r="M568" s="29" t="str">
        <f t="shared" si="40"/>
        <v/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2394</v>
      </c>
      <c r="C569" s="25" t="s">
        <v>2395</v>
      </c>
      <c r="D569" s="23" t="s">
        <v>2235</v>
      </c>
      <c r="E569" s="46"/>
      <c r="F569" s="26"/>
      <c r="G569" s="26"/>
      <c r="H569" s="26"/>
      <c r="I569" s="26"/>
      <c r="J569" s="26"/>
      <c r="K569" s="27"/>
      <c r="L569" s="28"/>
      <c r="M569" s="29" t="str">
        <f t="shared" si="40"/>
        <v/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2396</v>
      </c>
      <c r="C570" s="44" t="s">
        <v>2397</v>
      </c>
      <c r="D570" s="42" t="s">
        <v>2235</v>
      </c>
      <c r="E570" s="46"/>
      <c r="F570" s="26"/>
      <c r="G570" s="26"/>
      <c r="H570" s="26"/>
      <c r="I570" s="26"/>
      <c r="J570" s="26"/>
      <c r="K570" s="27"/>
      <c r="L570" s="28"/>
      <c r="M570" s="29" t="str">
        <f t="shared" si="40"/>
        <v/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2398</v>
      </c>
      <c r="C571" s="25" t="s">
        <v>2399</v>
      </c>
      <c r="D571" s="23" t="s">
        <v>2235</v>
      </c>
      <c r="E571" s="46"/>
      <c r="F571" s="26"/>
      <c r="G571" s="26"/>
      <c r="H571" s="26"/>
      <c r="I571" s="26"/>
      <c r="J571" s="26"/>
      <c r="K571" s="27"/>
      <c r="L571" s="28"/>
      <c r="M571" s="29" t="str">
        <f t="shared" si="40"/>
        <v/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2400</v>
      </c>
      <c r="C572" s="44" t="s">
        <v>2401</v>
      </c>
      <c r="D572" s="42" t="s">
        <v>2235</v>
      </c>
      <c r="E572" s="46"/>
      <c r="F572" s="26"/>
      <c r="G572" s="26"/>
      <c r="H572" s="26"/>
      <c r="I572" s="26"/>
      <c r="J572" s="26"/>
      <c r="K572" s="27"/>
      <c r="L572" s="28"/>
      <c r="M572" s="29" t="str">
        <f t="shared" si="40"/>
        <v/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2402</v>
      </c>
      <c r="C573" s="25" t="s">
        <v>2403</v>
      </c>
      <c r="D573" s="23" t="s">
        <v>2235</v>
      </c>
      <c r="E573" s="46"/>
      <c r="F573" s="26"/>
      <c r="G573" s="26"/>
      <c r="H573" s="26"/>
      <c r="I573" s="26"/>
      <c r="J573" s="26"/>
      <c r="K573" s="27"/>
      <c r="L573" s="28"/>
      <c r="M573" s="29" t="str">
        <f t="shared" si="40"/>
        <v/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2404</v>
      </c>
      <c r="C574" s="44" t="s">
        <v>2405</v>
      </c>
      <c r="D574" s="42" t="s">
        <v>2235</v>
      </c>
      <c r="E574" s="46"/>
      <c r="F574" s="26"/>
      <c r="G574" s="26"/>
      <c r="H574" s="26"/>
      <c r="I574" s="26"/>
      <c r="J574" s="26"/>
      <c r="K574" s="27"/>
      <c r="L574" s="28"/>
      <c r="M574" s="29" t="str">
        <f t="shared" si="40"/>
        <v/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2406</v>
      </c>
      <c r="C575" s="25" t="s">
        <v>2407</v>
      </c>
      <c r="D575" s="23" t="s">
        <v>2235</v>
      </c>
      <c r="E575" s="46"/>
      <c r="F575" s="26"/>
      <c r="G575" s="26"/>
      <c r="H575" s="26"/>
      <c r="I575" s="26"/>
      <c r="J575" s="26"/>
      <c r="K575" s="27"/>
      <c r="L575" s="28"/>
      <c r="M575" s="29" t="str">
        <f t="shared" si="40"/>
        <v/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2408</v>
      </c>
      <c r="C576" s="44" t="s">
        <v>2409</v>
      </c>
      <c r="D576" s="42" t="s">
        <v>2235</v>
      </c>
      <c r="E576" s="46"/>
      <c r="F576" s="26"/>
      <c r="G576" s="26"/>
      <c r="H576" s="26"/>
      <c r="I576" s="26"/>
      <c r="J576" s="26"/>
      <c r="K576" s="27"/>
      <c r="L576" s="28"/>
      <c r="M576" s="29" t="str">
        <f t="shared" si="40"/>
        <v/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2410</v>
      </c>
      <c r="C577" s="25" t="s">
        <v>2411</v>
      </c>
      <c r="D577" s="23" t="s">
        <v>2235</v>
      </c>
      <c r="E577" s="46"/>
      <c r="F577" s="26"/>
      <c r="G577" s="26"/>
      <c r="H577" s="26"/>
      <c r="I577" s="26"/>
      <c r="J577" s="26"/>
      <c r="K577" s="27"/>
      <c r="L577" s="28"/>
      <c r="M577" s="29" t="str">
        <f t="shared" si="40"/>
        <v/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2412</v>
      </c>
      <c r="C578" s="44" t="s">
        <v>2413</v>
      </c>
      <c r="D578" s="42" t="s">
        <v>2235</v>
      </c>
      <c r="E578" s="46"/>
      <c r="F578" s="26"/>
      <c r="G578" s="26"/>
      <c r="H578" s="26"/>
      <c r="I578" s="26"/>
      <c r="J578" s="26"/>
      <c r="K578" s="27"/>
      <c r="L578" s="28"/>
      <c r="M578" s="29" t="str">
        <f t="shared" si="40"/>
        <v/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2414</v>
      </c>
      <c r="C579" s="25" t="s">
        <v>2415</v>
      </c>
      <c r="D579" s="23" t="s">
        <v>2235</v>
      </c>
      <c r="E579" s="46"/>
      <c r="F579" s="26"/>
      <c r="G579" s="26"/>
      <c r="H579" s="26"/>
      <c r="I579" s="26"/>
      <c r="J579" s="26"/>
      <c r="K579" s="27"/>
      <c r="L579" s="28"/>
      <c r="M579" s="29" t="str">
        <f t="shared" si="40"/>
        <v/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2416</v>
      </c>
      <c r="C580" s="44" t="s">
        <v>2417</v>
      </c>
      <c r="D580" s="42" t="s">
        <v>2235</v>
      </c>
      <c r="E580" s="46"/>
      <c r="F580" s="26"/>
      <c r="G580" s="26"/>
      <c r="H580" s="26"/>
      <c r="I580" s="26"/>
      <c r="J580" s="26"/>
      <c r="K580" s="27"/>
      <c r="L580" s="28"/>
      <c r="M580" s="29" t="str">
        <f t="shared" si="40"/>
        <v/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2418</v>
      </c>
      <c r="C581" s="25" t="s">
        <v>2419</v>
      </c>
      <c r="D581" s="23" t="s">
        <v>2235</v>
      </c>
      <c r="E581" s="46"/>
      <c r="F581" s="26"/>
      <c r="G581" s="26"/>
      <c r="H581" s="26"/>
      <c r="I581" s="26"/>
      <c r="J581" s="26"/>
      <c r="K581" s="27"/>
      <c r="L581" s="28"/>
      <c r="M581" s="29" t="str">
        <f t="shared" ref="M581:M644" si="45">IF(E581="","",IF(H581="Yes","❌ Disc",IF(G581="No","⚠ Missing",IF(J581="Yes","✓ OK","⚠ Check"))))</f>
        <v/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2420</v>
      </c>
      <c r="C582" s="44" t="s">
        <v>2421</v>
      </c>
      <c r="D582" s="42" t="s">
        <v>2235</v>
      </c>
      <c r="E582" s="46"/>
      <c r="F582" s="26"/>
      <c r="G582" s="26"/>
      <c r="H582" s="26"/>
      <c r="I582" s="26"/>
      <c r="J582" s="26"/>
      <c r="K582" s="27"/>
      <c r="L582" s="28"/>
      <c r="M582" s="29" t="str">
        <f t="shared" si="45"/>
        <v/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2422</v>
      </c>
      <c r="C583" s="25" t="s">
        <v>2423</v>
      </c>
      <c r="D583" s="23" t="s">
        <v>2235</v>
      </c>
      <c r="E583" s="46"/>
      <c r="F583" s="26"/>
      <c r="G583" s="26"/>
      <c r="H583" s="26"/>
      <c r="I583" s="26"/>
      <c r="J583" s="26"/>
      <c r="K583" s="27"/>
      <c r="L583" s="28"/>
      <c r="M583" s="29" t="str">
        <f t="shared" si="45"/>
        <v/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2424</v>
      </c>
      <c r="C584" s="44" t="s">
        <v>2425</v>
      </c>
      <c r="D584" s="42" t="s">
        <v>2235</v>
      </c>
      <c r="E584" s="46"/>
      <c r="F584" s="26"/>
      <c r="G584" s="26"/>
      <c r="H584" s="26"/>
      <c r="I584" s="26"/>
      <c r="J584" s="26"/>
      <c r="K584" s="27"/>
      <c r="L584" s="28"/>
      <c r="M584" s="29" t="str">
        <f t="shared" si="45"/>
        <v/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2426</v>
      </c>
      <c r="C585" s="25" t="s">
        <v>2427</v>
      </c>
      <c r="D585" s="23" t="s">
        <v>2235</v>
      </c>
      <c r="E585" s="46"/>
      <c r="F585" s="26"/>
      <c r="G585" s="26"/>
      <c r="H585" s="26"/>
      <c r="I585" s="26"/>
      <c r="J585" s="26"/>
      <c r="K585" s="27"/>
      <c r="L585" s="28"/>
      <c r="M585" s="29" t="str">
        <f t="shared" si="45"/>
        <v/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2428</v>
      </c>
      <c r="C586" s="44" t="s">
        <v>2429</v>
      </c>
      <c r="D586" s="42" t="s">
        <v>2235</v>
      </c>
      <c r="E586" s="46"/>
      <c r="F586" s="26"/>
      <c r="G586" s="26"/>
      <c r="H586" s="26"/>
      <c r="I586" s="26"/>
      <c r="J586" s="26"/>
      <c r="K586" s="27"/>
      <c r="L586" s="28"/>
      <c r="M586" s="29" t="str">
        <f t="shared" si="45"/>
        <v/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2430</v>
      </c>
      <c r="C587" s="25" t="s">
        <v>2431</v>
      </c>
      <c r="D587" s="23" t="s">
        <v>2235</v>
      </c>
      <c r="E587" s="46"/>
      <c r="F587" s="26"/>
      <c r="G587" s="26"/>
      <c r="H587" s="26"/>
      <c r="I587" s="26"/>
      <c r="J587" s="26"/>
      <c r="K587" s="27"/>
      <c r="L587" s="28"/>
      <c r="M587" s="29" t="str">
        <f t="shared" si="45"/>
        <v/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2432</v>
      </c>
      <c r="C588" s="44" t="s">
        <v>2433</v>
      </c>
      <c r="D588" s="42" t="s">
        <v>2235</v>
      </c>
      <c r="E588" s="46"/>
      <c r="F588" s="26"/>
      <c r="G588" s="26"/>
      <c r="H588" s="26"/>
      <c r="I588" s="26"/>
      <c r="J588" s="26"/>
      <c r="K588" s="27"/>
      <c r="L588" s="28"/>
      <c r="M588" s="29" t="str">
        <f t="shared" si="45"/>
        <v/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2434</v>
      </c>
      <c r="C589" s="25" t="s">
        <v>2435</v>
      </c>
      <c r="D589" s="23" t="s">
        <v>2235</v>
      </c>
      <c r="E589" s="46"/>
      <c r="F589" s="26"/>
      <c r="G589" s="26"/>
      <c r="H589" s="26"/>
      <c r="I589" s="26"/>
      <c r="J589" s="26"/>
      <c r="K589" s="27"/>
      <c r="L589" s="28"/>
      <c r="M589" s="29" t="str">
        <f t="shared" si="45"/>
        <v/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2436</v>
      </c>
      <c r="C590" s="44" t="s">
        <v>2437</v>
      </c>
      <c r="D590" s="42" t="s">
        <v>2235</v>
      </c>
      <c r="E590" s="46"/>
      <c r="F590" s="26"/>
      <c r="G590" s="26"/>
      <c r="H590" s="26"/>
      <c r="I590" s="26"/>
      <c r="J590" s="26"/>
      <c r="K590" s="27"/>
      <c r="L590" s="28"/>
      <c r="M590" s="29" t="str">
        <f t="shared" si="45"/>
        <v/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2438</v>
      </c>
      <c r="C591" s="25" t="s">
        <v>2439</v>
      </c>
      <c r="D591" s="23" t="s">
        <v>2235</v>
      </c>
      <c r="E591" s="46"/>
      <c r="F591" s="26"/>
      <c r="G591" s="26"/>
      <c r="H591" s="26"/>
      <c r="I591" s="26"/>
      <c r="J591" s="26"/>
      <c r="K591" s="27"/>
      <c r="L591" s="28"/>
      <c r="M591" s="29" t="str">
        <f t="shared" si="45"/>
        <v/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2440</v>
      </c>
      <c r="C592" s="44" t="s">
        <v>2441</v>
      </c>
      <c r="D592" s="42" t="s">
        <v>2235</v>
      </c>
      <c r="E592" s="46"/>
      <c r="F592" s="26"/>
      <c r="G592" s="26"/>
      <c r="H592" s="26"/>
      <c r="I592" s="26"/>
      <c r="J592" s="26"/>
      <c r="K592" s="27"/>
      <c r="L592" s="28"/>
      <c r="M592" s="29" t="str">
        <f t="shared" si="45"/>
        <v/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2442</v>
      </c>
      <c r="C593" s="25" t="s">
        <v>2443</v>
      </c>
      <c r="D593" s="23" t="s">
        <v>2235</v>
      </c>
      <c r="E593" s="46"/>
      <c r="F593" s="26"/>
      <c r="G593" s="26"/>
      <c r="H593" s="26"/>
      <c r="I593" s="26"/>
      <c r="J593" s="26"/>
      <c r="K593" s="27"/>
      <c r="L593" s="28"/>
      <c r="M593" s="29" t="str">
        <f t="shared" si="45"/>
        <v/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2444</v>
      </c>
      <c r="C594" s="44" t="s">
        <v>2445</v>
      </c>
      <c r="D594" s="42" t="s">
        <v>2235</v>
      </c>
      <c r="E594" s="46"/>
      <c r="F594" s="26"/>
      <c r="G594" s="26"/>
      <c r="H594" s="26"/>
      <c r="I594" s="26"/>
      <c r="J594" s="26"/>
      <c r="K594" s="27"/>
      <c r="L594" s="28"/>
      <c r="M594" s="29" t="str">
        <f t="shared" si="45"/>
        <v/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2446</v>
      </c>
      <c r="C595" s="25" t="s">
        <v>2447</v>
      </c>
      <c r="D595" s="23" t="s">
        <v>2235</v>
      </c>
      <c r="E595" s="46"/>
      <c r="F595" s="26"/>
      <c r="G595" s="26"/>
      <c r="H595" s="26"/>
      <c r="I595" s="26"/>
      <c r="J595" s="26"/>
      <c r="K595" s="27"/>
      <c r="L595" s="28"/>
      <c r="M595" s="29" t="str">
        <f t="shared" si="45"/>
        <v/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2448</v>
      </c>
      <c r="C596" s="44" t="s">
        <v>2449</v>
      </c>
      <c r="D596" s="42" t="s">
        <v>2235</v>
      </c>
      <c r="E596" s="46"/>
      <c r="F596" s="26"/>
      <c r="G596" s="26"/>
      <c r="H596" s="26"/>
      <c r="I596" s="26"/>
      <c r="J596" s="26"/>
      <c r="K596" s="27"/>
      <c r="L596" s="28"/>
      <c r="M596" s="29" t="str">
        <f t="shared" si="45"/>
        <v/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2450</v>
      </c>
      <c r="C597" s="25" t="s">
        <v>2451</v>
      </c>
      <c r="D597" s="23" t="s">
        <v>2235</v>
      </c>
      <c r="E597" s="46"/>
      <c r="F597" s="26"/>
      <c r="G597" s="26"/>
      <c r="H597" s="26"/>
      <c r="I597" s="26"/>
      <c r="J597" s="26"/>
      <c r="K597" s="27"/>
      <c r="L597" s="28"/>
      <c r="M597" s="29" t="str">
        <f t="shared" si="45"/>
        <v/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2452</v>
      </c>
      <c r="C598" s="44" t="s">
        <v>2453</v>
      </c>
      <c r="D598" s="42" t="s">
        <v>2235</v>
      </c>
      <c r="E598" s="46"/>
      <c r="F598" s="26"/>
      <c r="G598" s="26"/>
      <c r="H598" s="26"/>
      <c r="I598" s="26"/>
      <c r="J598" s="26"/>
      <c r="K598" s="27"/>
      <c r="L598" s="28"/>
      <c r="M598" s="29" t="str">
        <f t="shared" si="45"/>
        <v/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2454</v>
      </c>
      <c r="C599" s="25" t="s">
        <v>2455</v>
      </c>
      <c r="D599" s="23" t="s">
        <v>2235</v>
      </c>
      <c r="E599" s="46"/>
      <c r="F599" s="26"/>
      <c r="G599" s="26"/>
      <c r="H599" s="26"/>
      <c r="I599" s="26"/>
      <c r="J599" s="26"/>
      <c r="K599" s="27"/>
      <c r="L599" s="28"/>
      <c r="M599" s="29" t="str">
        <f t="shared" si="45"/>
        <v/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2456</v>
      </c>
      <c r="C600" s="44" t="s">
        <v>2457</v>
      </c>
      <c r="D600" s="42" t="s">
        <v>2235</v>
      </c>
      <c r="E600" s="46"/>
      <c r="F600" s="26"/>
      <c r="G600" s="26"/>
      <c r="H600" s="26"/>
      <c r="I600" s="26"/>
      <c r="J600" s="26"/>
      <c r="K600" s="27"/>
      <c r="L600" s="28"/>
      <c r="M600" s="29" t="str">
        <f t="shared" si="45"/>
        <v/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2458</v>
      </c>
      <c r="C601" s="25" t="s">
        <v>2459</v>
      </c>
      <c r="D601" s="23" t="s">
        <v>2235</v>
      </c>
      <c r="E601" s="46"/>
      <c r="F601" s="26"/>
      <c r="G601" s="26"/>
      <c r="H601" s="26"/>
      <c r="I601" s="26"/>
      <c r="J601" s="26"/>
      <c r="K601" s="27"/>
      <c r="L601" s="28"/>
      <c r="M601" s="29" t="str">
        <f t="shared" si="45"/>
        <v/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2460</v>
      </c>
      <c r="C602" s="44" t="s">
        <v>2461</v>
      </c>
      <c r="D602" s="42" t="s">
        <v>2235</v>
      </c>
      <c r="E602" s="46"/>
      <c r="F602" s="26"/>
      <c r="G602" s="26"/>
      <c r="H602" s="26"/>
      <c r="I602" s="26"/>
      <c r="J602" s="26"/>
      <c r="K602" s="27"/>
      <c r="L602" s="28"/>
      <c r="M602" s="29" t="str">
        <f t="shared" si="45"/>
        <v/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2462</v>
      </c>
      <c r="C603" s="25" t="s">
        <v>2463</v>
      </c>
      <c r="D603" s="23" t="s">
        <v>2235</v>
      </c>
      <c r="E603" s="46"/>
      <c r="F603" s="26"/>
      <c r="G603" s="26"/>
      <c r="H603" s="26"/>
      <c r="I603" s="26"/>
      <c r="J603" s="26"/>
      <c r="K603" s="27"/>
      <c r="L603" s="28"/>
      <c r="M603" s="29" t="str">
        <f t="shared" si="45"/>
        <v/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2464</v>
      </c>
      <c r="C604" s="44" t="s">
        <v>2465</v>
      </c>
      <c r="D604" s="42" t="s">
        <v>2235</v>
      </c>
      <c r="E604" s="46"/>
      <c r="F604" s="26"/>
      <c r="G604" s="26"/>
      <c r="H604" s="26"/>
      <c r="I604" s="26"/>
      <c r="J604" s="26"/>
      <c r="K604" s="27"/>
      <c r="L604" s="28"/>
      <c r="M604" s="29" t="str">
        <f t="shared" si="45"/>
        <v/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2466</v>
      </c>
      <c r="C605" s="25" t="s">
        <v>2467</v>
      </c>
      <c r="D605" s="23" t="s">
        <v>2235</v>
      </c>
      <c r="E605" s="46"/>
      <c r="F605" s="26"/>
      <c r="G605" s="26"/>
      <c r="H605" s="26"/>
      <c r="I605" s="26"/>
      <c r="J605" s="26"/>
      <c r="K605" s="27"/>
      <c r="L605" s="28"/>
      <c r="M605" s="29" t="str">
        <f t="shared" si="45"/>
        <v/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2468</v>
      </c>
      <c r="C606" s="44" t="s">
        <v>2469</v>
      </c>
      <c r="D606" s="42" t="s">
        <v>2235</v>
      </c>
      <c r="E606" s="46"/>
      <c r="F606" s="26"/>
      <c r="G606" s="26"/>
      <c r="H606" s="26"/>
      <c r="I606" s="26"/>
      <c r="J606" s="26"/>
      <c r="K606" s="27"/>
      <c r="L606" s="28"/>
      <c r="M606" s="29" t="str">
        <f t="shared" si="45"/>
        <v/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2470</v>
      </c>
      <c r="C607" s="25" t="s">
        <v>2471</v>
      </c>
      <c r="D607" s="23" t="s">
        <v>2235</v>
      </c>
      <c r="E607" s="46"/>
      <c r="F607" s="26"/>
      <c r="G607" s="26"/>
      <c r="H607" s="26"/>
      <c r="I607" s="26"/>
      <c r="J607" s="26"/>
      <c r="K607" s="27"/>
      <c r="L607" s="28"/>
      <c r="M607" s="29" t="str">
        <f t="shared" si="45"/>
        <v/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2472</v>
      </c>
      <c r="C608" s="44" t="s">
        <v>2473</v>
      </c>
      <c r="D608" s="42" t="s">
        <v>2235</v>
      </c>
      <c r="E608" s="46"/>
      <c r="F608" s="26"/>
      <c r="G608" s="26"/>
      <c r="H608" s="26"/>
      <c r="I608" s="26"/>
      <c r="J608" s="26"/>
      <c r="K608" s="27"/>
      <c r="L608" s="28"/>
      <c r="M608" s="29" t="str">
        <f t="shared" si="45"/>
        <v/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2474</v>
      </c>
      <c r="C609" s="25" t="s">
        <v>2475</v>
      </c>
      <c r="D609" s="23" t="s">
        <v>2235</v>
      </c>
      <c r="E609" s="46"/>
      <c r="F609" s="26"/>
      <c r="G609" s="26"/>
      <c r="H609" s="26"/>
      <c r="I609" s="26"/>
      <c r="J609" s="26"/>
      <c r="K609" s="27"/>
      <c r="L609" s="28"/>
      <c r="M609" s="29" t="str">
        <f t="shared" si="45"/>
        <v/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2476</v>
      </c>
      <c r="C610" s="44" t="s">
        <v>2477</v>
      </c>
      <c r="D610" s="42" t="s">
        <v>2235</v>
      </c>
      <c r="E610" s="46"/>
      <c r="F610" s="26"/>
      <c r="G610" s="26"/>
      <c r="H610" s="26"/>
      <c r="I610" s="26"/>
      <c r="J610" s="26"/>
      <c r="K610" s="27"/>
      <c r="L610" s="28"/>
      <c r="M610" s="29" t="str">
        <f t="shared" si="45"/>
        <v/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2478</v>
      </c>
      <c r="C611" s="25" t="s">
        <v>2479</v>
      </c>
      <c r="D611" s="23" t="s">
        <v>2235</v>
      </c>
      <c r="E611" s="46"/>
      <c r="F611" s="26"/>
      <c r="G611" s="26"/>
      <c r="H611" s="26"/>
      <c r="I611" s="26"/>
      <c r="J611" s="26"/>
      <c r="K611" s="27"/>
      <c r="L611" s="28"/>
      <c r="M611" s="29" t="str">
        <f t="shared" si="45"/>
        <v/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2480</v>
      </c>
      <c r="C612" s="44" t="s">
        <v>2481</v>
      </c>
      <c r="D612" s="42" t="s">
        <v>2235</v>
      </c>
      <c r="E612" s="46"/>
      <c r="F612" s="26"/>
      <c r="G612" s="26"/>
      <c r="H612" s="26"/>
      <c r="I612" s="26"/>
      <c r="J612" s="26"/>
      <c r="K612" s="27"/>
      <c r="L612" s="28"/>
      <c r="M612" s="29" t="str">
        <f t="shared" si="45"/>
        <v/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2482</v>
      </c>
      <c r="C613" s="25" t="s">
        <v>2483</v>
      </c>
      <c r="D613" s="23" t="s">
        <v>2235</v>
      </c>
      <c r="E613" s="46"/>
      <c r="F613" s="26"/>
      <c r="G613" s="26"/>
      <c r="H613" s="26"/>
      <c r="I613" s="26"/>
      <c r="J613" s="26"/>
      <c r="K613" s="27"/>
      <c r="L613" s="28"/>
      <c r="M613" s="29" t="str">
        <f t="shared" si="45"/>
        <v/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2484</v>
      </c>
      <c r="C614" s="44" t="s">
        <v>2485</v>
      </c>
      <c r="D614" s="42" t="s">
        <v>2235</v>
      </c>
      <c r="E614" s="46"/>
      <c r="F614" s="26"/>
      <c r="G614" s="26"/>
      <c r="H614" s="26"/>
      <c r="I614" s="26"/>
      <c r="J614" s="26"/>
      <c r="K614" s="27"/>
      <c r="L614" s="28"/>
      <c r="M614" s="29" t="str">
        <f t="shared" si="45"/>
        <v/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2486</v>
      </c>
      <c r="C615" s="25" t="s">
        <v>2487</v>
      </c>
      <c r="D615" s="23" t="s">
        <v>2235</v>
      </c>
      <c r="E615" s="46"/>
      <c r="F615" s="26"/>
      <c r="G615" s="26"/>
      <c r="H615" s="26"/>
      <c r="I615" s="26"/>
      <c r="J615" s="26"/>
      <c r="K615" s="27"/>
      <c r="L615" s="28"/>
      <c r="M615" s="29" t="str">
        <f t="shared" si="45"/>
        <v/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2488</v>
      </c>
      <c r="C616" s="44" t="s">
        <v>2489</v>
      </c>
      <c r="D616" s="42" t="s">
        <v>2235</v>
      </c>
      <c r="E616" s="46"/>
      <c r="F616" s="26"/>
      <c r="G616" s="26"/>
      <c r="H616" s="26"/>
      <c r="I616" s="26"/>
      <c r="J616" s="26"/>
      <c r="K616" s="27"/>
      <c r="L616" s="28"/>
      <c r="M616" s="29" t="str">
        <f t="shared" si="45"/>
        <v/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2490</v>
      </c>
      <c r="C617" s="25" t="s">
        <v>2491</v>
      </c>
      <c r="D617" s="23" t="s">
        <v>2235</v>
      </c>
      <c r="E617" s="46"/>
      <c r="F617" s="26"/>
      <c r="G617" s="26"/>
      <c r="H617" s="26"/>
      <c r="I617" s="26"/>
      <c r="J617" s="26"/>
      <c r="K617" s="27"/>
      <c r="L617" s="28"/>
      <c r="M617" s="29" t="str">
        <f t="shared" si="45"/>
        <v/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2492</v>
      </c>
      <c r="C618" s="44" t="s">
        <v>2493</v>
      </c>
      <c r="D618" s="42" t="s">
        <v>2235</v>
      </c>
      <c r="E618" s="46"/>
      <c r="F618" s="26"/>
      <c r="G618" s="26"/>
      <c r="H618" s="26"/>
      <c r="I618" s="26"/>
      <c r="J618" s="26"/>
      <c r="K618" s="27"/>
      <c r="L618" s="28"/>
      <c r="M618" s="29" t="str">
        <f t="shared" si="45"/>
        <v/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2494</v>
      </c>
      <c r="C619" s="25" t="s">
        <v>2495</v>
      </c>
      <c r="D619" s="23" t="s">
        <v>2235</v>
      </c>
      <c r="E619" s="46"/>
      <c r="F619" s="26"/>
      <c r="G619" s="26"/>
      <c r="H619" s="26"/>
      <c r="I619" s="26"/>
      <c r="J619" s="26"/>
      <c r="K619" s="27"/>
      <c r="L619" s="28"/>
      <c r="M619" s="29" t="str">
        <f t="shared" si="45"/>
        <v/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2496</v>
      </c>
      <c r="C620" s="44" t="s">
        <v>2497</v>
      </c>
      <c r="D620" s="42" t="s">
        <v>2235</v>
      </c>
      <c r="E620" s="46"/>
      <c r="F620" s="26"/>
      <c r="G620" s="26"/>
      <c r="H620" s="26"/>
      <c r="I620" s="26"/>
      <c r="J620" s="26"/>
      <c r="K620" s="27"/>
      <c r="L620" s="28"/>
      <c r="M620" s="29" t="str">
        <f t="shared" si="45"/>
        <v/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2498</v>
      </c>
      <c r="C621" s="25" t="s">
        <v>2499</v>
      </c>
      <c r="D621" s="23" t="s">
        <v>2235</v>
      </c>
      <c r="E621" s="46"/>
      <c r="F621" s="26"/>
      <c r="G621" s="26"/>
      <c r="H621" s="26"/>
      <c r="I621" s="26"/>
      <c r="J621" s="26"/>
      <c r="K621" s="27"/>
      <c r="L621" s="28"/>
      <c r="M621" s="29" t="str">
        <f t="shared" si="45"/>
        <v/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2500</v>
      </c>
      <c r="C622" s="44" t="s">
        <v>2501</v>
      </c>
      <c r="D622" s="42" t="s">
        <v>2235</v>
      </c>
      <c r="E622" s="46"/>
      <c r="F622" s="26"/>
      <c r="G622" s="26"/>
      <c r="H622" s="26"/>
      <c r="I622" s="26"/>
      <c r="J622" s="26"/>
      <c r="K622" s="27"/>
      <c r="L622" s="28"/>
      <c r="M622" s="29" t="str">
        <f t="shared" si="45"/>
        <v/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2502</v>
      </c>
      <c r="C623" s="25" t="s">
        <v>2503</v>
      </c>
      <c r="D623" s="23" t="s">
        <v>2235</v>
      </c>
      <c r="E623" s="46"/>
      <c r="F623" s="26"/>
      <c r="G623" s="26"/>
      <c r="H623" s="26"/>
      <c r="I623" s="26"/>
      <c r="J623" s="26"/>
      <c r="K623" s="27"/>
      <c r="L623" s="28"/>
      <c r="M623" s="29" t="str">
        <f t="shared" si="45"/>
        <v/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2504</v>
      </c>
      <c r="C624" s="44" t="s">
        <v>2505</v>
      </c>
      <c r="D624" s="42" t="s">
        <v>2235</v>
      </c>
      <c r="E624" s="46"/>
      <c r="F624" s="26"/>
      <c r="G624" s="26"/>
      <c r="H624" s="26"/>
      <c r="I624" s="26"/>
      <c r="J624" s="26"/>
      <c r="K624" s="27"/>
      <c r="L624" s="28"/>
      <c r="M624" s="29" t="str">
        <f t="shared" si="45"/>
        <v/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2506</v>
      </c>
      <c r="C625" s="25" t="s">
        <v>2507</v>
      </c>
      <c r="D625" s="23" t="s">
        <v>2235</v>
      </c>
      <c r="E625" s="46"/>
      <c r="F625" s="26"/>
      <c r="G625" s="26"/>
      <c r="H625" s="26"/>
      <c r="I625" s="26"/>
      <c r="J625" s="26"/>
      <c r="K625" s="27"/>
      <c r="L625" s="28"/>
      <c r="M625" s="29" t="str">
        <f t="shared" si="45"/>
        <v/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2508</v>
      </c>
      <c r="C626" s="44" t="s">
        <v>2509</v>
      </c>
      <c r="D626" s="42" t="s">
        <v>2235</v>
      </c>
      <c r="E626" s="46"/>
      <c r="F626" s="26"/>
      <c r="G626" s="26"/>
      <c r="H626" s="26"/>
      <c r="I626" s="26"/>
      <c r="J626" s="26"/>
      <c r="K626" s="27"/>
      <c r="L626" s="28"/>
      <c r="M626" s="29" t="str">
        <f t="shared" si="45"/>
        <v/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2510</v>
      </c>
      <c r="C627" s="25" t="s">
        <v>2511</v>
      </c>
      <c r="D627" s="23" t="s">
        <v>2235</v>
      </c>
      <c r="E627" s="46"/>
      <c r="F627" s="26"/>
      <c r="G627" s="26"/>
      <c r="H627" s="26"/>
      <c r="I627" s="26"/>
      <c r="J627" s="26"/>
      <c r="K627" s="27"/>
      <c r="L627" s="28"/>
      <c r="M627" s="29" t="str">
        <f t="shared" si="45"/>
        <v/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2512</v>
      </c>
      <c r="C628" s="44" t="s">
        <v>2513</v>
      </c>
      <c r="D628" s="42" t="s">
        <v>2235</v>
      </c>
      <c r="E628" s="46"/>
      <c r="F628" s="26"/>
      <c r="G628" s="26"/>
      <c r="H628" s="26"/>
      <c r="I628" s="26"/>
      <c r="J628" s="26"/>
      <c r="K628" s="27"/>
      <c r="L628" s="28"/>
      <c r="M628" s="29" t="str">
        <f t="shared" si="45"/>
        <v/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2514</v>
      </c>
      <c r="C629" s="25" t="s">
        <v>2515</v>
      </c>
      <c r="D629" s="23" t="s">
        <v>2235</v>
      </c>
      <c r="E629" s="46"/>
      <c r="F629" s="26"/>
      <c r="G629" s="26"/>
      <c r="H629" s="26"/>
      <c r="I629" s="26"/>
      <c r="J629" s="26"/>
      <c r="K629" s="27"/>
      <c r="L629" s="28"/>
      <c r="M629" s="29" t="str">
        <f t="shared" si="45"/>
        <v/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2516</v>
      </c>
      <c r="C630" s="44" t="s">
        <v>2517</v>
      </c>
      <c r="D630" s="42" t="s">
        <v>2235</v>
      </c>
      <c r="E630" s="46"/>
      <c r="F630" s="26"/>
      <c r="G630" s="26"/>
      <c r="H630" s="26"/>
      <c r="I630" s="26"/>
      <c r="J630" s="26"/>
      <c r="K630" s="27"/>
      <c r="L630" s="28"/>
      <c r="M630" s="29" t="str">
        <f t="shared" si="45"/>
        <v/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2518</v>
      </c>
      <c r="C631" s="25" t="s">
        <v>2519</v>
      </c>
      <c r="D631" s="23" t="s">
        <v>2235</v>
      </c>
      <c r="E631" s="46"/>
      <c r="F631" s="26"/>
      <c r="G631" s="26"/>
      <c r="H631" s="26"/>
      <c r="I631" s="26"/>
      <c r="J631" s="26"/>
      <c r="K631" s="27"/>
      <c r="L631" s="28"/>
      <c r="M631" s="29" t="str">
        <f t="shared" si="45"/>
        <v/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2520</v>
      </c>
      <c r="C632" s="44" t="s">
        <v>2521</v>
      </c>
      <c r="D632" s="42" t="s">
        <v>2235</v>
      </c>
      <c r="E632" s="46"/>
      <c r="F632" s="26"/>
      <c r="G632" s="26"/>
      <c r="H632" s="26"/>
      <c r="I632" s="26"/>
      <c r="J632" s="26"/>
      <c r="K632" s="27"/>
      <c r="L632" s="28"/>
      <c r="M632" s="29" t="str">
        <f t="shared" si="45"/>
        <v/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2522</v>
      </c>
      <c r="C633" s="25" t="s">
        <v>2523</v>
      </c>
      <c r="D633" s="23" t="s">
        <v>2235</v>
      </c>
      <c r="E633" s="46"/>
      <c r="F633" s="26"/>
      <c r="G633" s="26"/>
      <c r="H633" s="26"/>
      <c r="I633" s="26"/>
      <c r="J633" s="26"/>
      <c r="K633" s="27"/>
      <c r="L633" s="28"/>
      <c r="M633" s="29" t="str">
        <f t="shared" si="45"/>
        <v/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2524</v>
      </c>
      <c r="C634" s="44" t="s">
        <v>2525</v>
      </c>
      <c r="D634" s="42" t="s">
        <v>2235</v>
      </c>
      <c r="E634" s="46"/>
      <c r="F634" s="26"/>
      <c r="G634" s="26"/>
      <c r="H634" s="26"/>
      <c r="I634" s="26"/>
      <c r="J634" s="26"/>
      <c r="K634" s="27"/>
      <c r="L634" s="28"/>
      <c r="M634" s="29" t="str">
        <f t="shared" si="45"/>
        <v/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2526</v>
      </c>
      <c r="C635" s="25" t="s">
        <v>2527</v>
      </c>
      <c r="D635" s="23" t="s">
        <v>2235</v>
      </c>
      <c r="E635" s="46"/>
      <c r="F635" s="26"/>
      <c r="G635" s="26"/>
      <c r="H635" s="26"/>
      <c r="I635" s="26"/>
      <c r="J635" s="26"/>
      <c r="K635" s="27"/>
      <c r="L635" s="28"/>
      <c r="M635" s="29" t="str">
        <f t="shared" si="45"/>
        <v/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2528</v>
      </c>
      <c r="C636" s="44" t="s">
        <v>2529</v>
      </c>
      <c r="D636" s="42" t="s">
        <v>2235</v>
      </c>
      <c r="E636" s="46"/>
      <c r="F636" s="26"/>
      <c r="G636" s="26"/>
      <c r="H636" s="26"/>
      <c r="I636" s="26"/>
      <c r="J636" s="26"/>
      <c r="K636" s="27"/>
      <c r="L636" s="28"/>
      <c r="M636" s="29" t="str">
        <f t="shared" si="45"/>
        <v/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2530</v>
      </c>
      <c r="C637" s="25" t="s">
        <v>2531</v>
      </c>
      <c r="D637" s="23" t="s">
        <v>2235</v>
      </c>
      <c r="E637" s="46"/>
      <c r="F637" s="26"/>
      <c r="G637" s="26"/>
      <c r="H637" s="26"/>
      <c r="I637" s="26"/>
      <c r="J637" s="26"/>
      <c r="K637" s="27"/>
      <c r="L637" s="28"/>
      <c r="M637" s="29" t="str">
        <f t="shared" si="45"/>
        <v/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2532</v>
      </c>
      <c r="C638" s="44" t="s">
        <v>2533</v>
      </c>
      <c r="D638" s="42" t="s">
        <v>2235</v>
      </c>
      <c r="E638" s="46"/>
      <c r="F638" s="26"/>
      <c r="G638" s="26"/>
      <c r="H638" s="26"/>
      <c r="I638" s="26"/>
      <c r="J638" s="26"/>
      <c r="K638" s="27"/>
      <c r="L638" s="28"/>
      <c r="M638" s="29" t="str">
        <f t="shared" si="45"/>
        <v/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2534</v>
      </c>
      <c r="C639" s="25" t="s">
        <v>2535</v>
      </c>
      <c r="D639" s="23" t="s">
        <v>2235</v>
      </c>
      <c r="E639" s="46"/>
      <c r="F639" s="26"/>
      <c r="G639" s="26"/>
      <c r="H639" s="26"/>
      <c r="I639" s="26"/>
      <c r="J639" s="26"/>
      <c r="K639" s="27"/>
      <c r="L639" s="28"/>
      <c r="M639" s="29" t="str">
        <f t="shared" si="45"/>
        <v/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2536</v>
      </c>
      <c r="C640" s="44" t="s">
        <v>2537</v>
      </c>
      <c r="D640" s="42" t="s">
        <v>2235</v>
      </c>
      <c r="E640" s="46"/>
      <c r="F640" s="26"/>
      <c r="G640" s="26"/>
      <c r="H640" s="26"/>
      <c r="I640" s="26"/>
      <c r="J640" s="26"/>
      <c r="K640" s="27"/>
      <c r="L640" s="28"/>
      <c r="M640" s="29" t="str">
        <f t="shared" si="45"/>
        <v/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2538</v>
      </c>
      <c r="C641" s="25" t="s">
        <v>2539</v>
      </c>
      <c r="D641" s="23" t="s">
        <v>2235</v>
      </c>
      <c r="E641" s="46"/>
      <c r="F641" s="26"/>
      <c r="G641" s="26"/>
      <c r="H641" s="26"/>
      <c r="I641" s="26"/>
      <c r="J641" s="26"/>
      <c r="K641" s="27"/>
      <c r="L641" s="28"/>
      <c r="M641" s="29" t="str">
        <f t="shared" si="45"/>
        <v/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2540</v>
      </c>
      <c r="C642" s="44" t="s">
        <v>2541</v>
      </c>
      <c r="D642" s="42" t="s">
        <v>2235</v>
      </c>
      <c r="E642" s="46"/>
      <c r="F642" s="26"/>
      <c r="G642" s="26"/>
      <c r="H642" s="26"/>
      <c r="I642" s="26"/>
      <c r="J642" s="26"/>
      <c r="K642" s="27"/>
      <c r="L642" s="28"/>
      <c r="M642" s="29" t="str">
        <f t="shared" si="45"/>
        <v/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2542</v>
      </c>
      <c r="C643" s="25" t="s">
        <v>2543</v>
      </c>
      <c r="D643" s="23" t="s">
        <v>2235</v>
      </c>
      <c r="E643" s="46"/>
      <c r="F643" s="26"/>
      <c r="G643" s="26"/>
      <c r="H643" s="26"/>
      <c r="I643" s="26"/>
      <c r="J643" s="26"/>
      <c r="K643" s="27"/>
      <c r="L643" s="28"/>
      <c r="M643" s="29" t="str">
        <f t="shared" si="45"/>
        <v/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2544</v>
      </c>
      <c r="C644" s="44" t="s">
        <v>2545</v>
      </c>
      <c r="D644" s="42" t="s">
        <v>2235</v>
      </c>
      <c r="E644" s="46"/>
      <c r="F644" s="26"/>
      <c r="G644" s="26"/>
      <c r="H644" s="26"/>
      <c r="I644" s="26"/>
      <c r="J644" s="26"/>
      <c r="K644" s="27"/>
      <c r="L644" s="28"/>
      <c r="M644" s="29" t="str">
        <f t="shared" si="45"/>
        <v/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2546</v>
      </c>
      <c r="C645" s="25" t="s">
        <v>2547</v>
      </c>
      <c r="D645" s="23" t="s">
        <v>2235</v>
      </c>
      <c r="E645" s="46"/>
      <c r="F645" s="26"/>
      <c r="G645" s="26"/>
      <c r="H645" s="26"/>
      <c r="I645" s="26"/>
      <c r="J645" s="26"/>
      <c r="K645" s="27"/>
      <c r="L645" s="28"/>
      <c r="M645" s="29" t="str">
        <f t="shared" ref="M645:M708" si="50">IF(E645="","",IF(H645="Yes","❌ Disc",IF(G645="No","⚠ Missing",IF(J645="Yes","✓ OK","⚠ Check"))))</f>
        <v/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2548</v>
      </c>
      <c r="C646" s="44" t="s">
        <v>2549</v>
      </c>
      <c r="D646" s="42" t="s">
        <v>2235</v>
      </c>
      <c r="E646" s="46"/>
      <c r="F646" s="26"/>
      <c r="G646" s="26"/>
      <c r="H646" s="26"/>
      <c r="I646" s="26"/>
      <c r="J646" s="26"/>
      <c r="K646" s="27"/>
      <c r="L646" s="28"/>
      <c r="M646" s="29" t="str">
        <f t="shared" si="50"/>
        <v/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2550</v>
      </c>
      <c r="C647" s="25" t="s">
        <v>2551</v>
      </c>
      <c r="D647" s="23" t="s">
        <v>2235</v>
      </c>
      <c r="E647" s="46"/>
      <c r="F647" s="26"/>
      <c r="G647" s="26"/>
      <c r="H647" s="26"/>
      <c r="I647" s="26"/>
      <c r="J647" s="26"/>
      <c r="K647" s="27"/>
      <c r="L647" s="28"/>
      <c r="M647" s="29" t="str">
        <f t="shared" si="50"/>
        <v/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2552</v>
      </c>
      <c r="C648" s="44" t="s">
        <v>2553</v>
      </c>
      <c r="D648" s="42" t="s">
        <v>2235</v>
      </c>
      <c r="E648" s="46"/>
      <c r="F648" s="26"/>
      <c r="G648" s="26"/>
      <c r="H648" s="26"/>
      <c r="I648" s="26"/>
      <c r="J648" s="26"/>
      <c r="K648" s="27"/>
      <c r="L648" s="28"/>
      <c r="M648" s="29" t="str">
        <f t="shared" si="50"/>
        <v/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2554</v>
      </c>
      <c r="C649" s="25" t="s">
        <v>2555</v>
      </c>
      <c r="D649" s="23" t="s">
        <v>2235</v>
      </c>
      <c r="E649" s="46"/>
      <c r="F649" s="26"/>
      <c r="G649" s="26"/>
      <c r="H649" s="26"/>
      <c r="I649" s="26"/>
      <c r="J649" s="26"/>
      <c r="K649" s="27"/>
      <c r="L649" s="28"/>
      <c r="M649" s="29" t="str">
        <f t="shared" si="50"/>
        <v/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2556</v>
      </c>
      <c r="C650" s="44" t="s">
        <v>2557</v>
      </c>
      <c r="D650" s="42" t="s">
        <v>2235</v>
      </c>
      <c r="E650" s="46"/>
      <c r="F650" s="26"/>
      <c r="G650" s="26"/>
      <c r="H650" s="26"/>
      <c r="I650" s="26"/>
      <c r="J650" s="26"/>
      <c r="K650" s="27"/>
      <c r="L650" s="28"/>
      <c r="M650" s="29" t="str">
        <f t="shared" si="50"/>
        <v/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2558</v>
      </c>
      <c r="C651" s="25" t="s">
        <v>2559</v>
      </c>
      <c r="D651" s="23" t="s">
        <v>2235</v>
      </c>
      <c r="E651" s="46"/>
      <c r="F651" s="26"/>
      <c r="G651" s="26"/>
      <c r="H651" s="26"/>
      <c r="I651" s="26"/>
      <c r="J651" s="26"/>
      <c r="K651" s="27"/>
      <c r="L651" s="28"/>
      <c r="M651" s="29" t="str">
        <f t="shared" si="50"/>
        <v/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2560</v>
      </c>
      <c r="C652" s="44" t="s">
        <v>2561</v>
      </c>
      <c r="D652" s="42" t="s">
        <v>2235</v>
      </c>
      <c r="E652" s="46"/>
      <c r="F652" s="26"/>
      <c r="G652" s="26"/>
      <c r="H652" s="26"/>
      <c r="I652" s="26"/>
      <c r="J652" s="26"/>
      <c r="K652" s="27"/>
      <c r="L652" s="28"/>
      <c r="M652" s="29" t="str">
        <f t="shared" si="50"/>
        <v/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2562</v>
      </c>
      <c r="C653" s="25" t="s">
        <v>2563</v>
      </c>
      <c r="D653" s="23" t="s">
        <v>2235</v>
      </c>
      <c r="E653" s="46"/>
      <c r="F653" s="26"/>
      <c r="G653" s="26"/>
      <c r="H653" s="26"/>
      <c r="I653" s="26"/>
      <c r="J653" s="26"/>
      <c r="K653" s="27"/>
      <c r="L653" s="28"/>
      <c r="M653" s="29" t="str">
        <f t="shared" si="50"/>
        <v/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2564</v>
      </c>
      <c r="C654" s="44" t="s">
        <v>2565</v>
      </c>
      <c r="D654" s="42" t="s">
        <v>2235</v>
      </c>
      <c r="E654" s="46"/>
      <c r="F654" s="26"/>
      <c r="G654" s="26"/>
      <c r="H654" s="26"/>
      <c r="I654" s="26"/>
      <c r="J654" s="26"/>
      <c r="K654" s="27"/>
      <c r="L654" s="28"/>
      <c r="M654" s="29" t="str">
        <f t="shared" si="50"/>
        <v/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2566</v>
      </c>
      <c r="C655" s="25" t="s">
        <v>2567</v>
      </c>
      <c r="D655" s="23" t="s">
        <v>2235</v>
      </c>
      <c r="E655" s="46"/>
      <c r="F655" s="26"/>
      <c r="G655" s="26"/>
      <c r="H655" s="26"/>
      <c r="I655" s="26"/>
      <c r="J655" s="26"/>
      <c r="K655" s="27"/>
      <c r="L655" s="28"/>
      <c r="M655" s="29" t="str">
        <f t="shared" si="50"/>
        <v/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2568</v>
      </c>
      <c r="C656" s="44" t="s">
        <v>2569</v>
      </c>
      <c r="D656" s="42" t="s">
        <v>2235</v>
      </c>
      <c r="E656" s="46"/>
      <c r="F656" s="26"/>
      <c r="G656" s="26"/>
      <c r="H656" s="26"/>
      <c r="I656" s="26"/>
      <c r="J656" s="26"/>
      <c r="K656" s="27"/>
      <c r="L656" s="28"/>
      <c r="M656" s="29" t="str">
        <f t="shared" si="50"/>
        <v/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2570</v>
      </c>
      <c r="C657" s="25" t="s">
        <v>2571</v>
      </c>
      <c r="D657" s="23" t="s">
        <v>2235</v>
      </c>
      <c r="E657" s="46"/>
      <c r="F657" s="26"/>
      <c r="G657" s="26"/>
      <c r="H657" s="26"/>
      <c r="I657" s="26"/>
      <c r="J657" s="26"/>
      <c r="K657" s="27"/>
      <c r="L657" s="28"/>
      <c r="M657" s="29" t="str">
        <f t="shared" si="50"/>
        <v/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2572</v>
      </c>
      <c r="C658" s="44" t="s">
        <v>2573</v>
      </c>
      <c r="D658" s="42" t="s">
        <v>2235</v>
      </c>
      <c r="E658" s="46"/>
      <c r="F658" s="26"/>
      <c r="G658" s="26"/>
      <c r="H658" s="26"/>
      <c r="I658" s="26"/>
      <c r="J658" s="26"/>
      <c r="K658" s="27"/>
      <c r="L658" s="28"/>
      <c r="M658" s="29" t="str">
        <f t="shared" si="50"/>
        <v/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2574</v>
      </c>
      <c r="C659" s="25" t="s">
        <v>2575</v>
      </c>
      <c r="D659" s="23" t="s">
        <v>2235</v>
      </c>
      <c r="E659" s="46"/>
      <c r="F659" s="26"/>
      <c r="G659" s="26"/>
      <c r="H659" s="26"/>
      <c r="I659" s="26"/>
      <c r="J659" s="26"/>
      <c r="K659" s="27"/>
      <c r="L659" s="28"/>
      <c r="M659" s="29" t="str">
        <f t="shared" si="50"/>
        <v/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2576</v>
      </c>
      <c r="C660" s="44" t="s">
        <v>2577</v>
      </c>
      <c r="D660" s="42" t="s">
        <v>2235</v>
      </c>
      <c r="E660" s="46"/>
      <c r="F660" s="26"/>
      <c r="G660" s="26"/>
      <c r="H660" s="26"/>
      <c r="I660" s="26"/>
      <c r="J660" s="26"/>
      <c r="K660" s="27"/>
      <c r="L660" s="28"/>
      <c r="M660" s="29" t="str">
        <f t="shared" si="50"/>
        <v/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2578</v>
      </c>
      <c r="C661" s="25" t="s">
        <v>2579</v>
      </c>
      <c r="D661" s="23" t="s">
        <v>2235</v>
      </c>
      <c r="E661" s="46"/>
      <c r="F661" s="26"/>
      <c r="G661" s="26"/>
      <c r="H661" s="26"/>
      <c r="I661" s="26"/>
      <c r="J661" s="26"/>
      <c r="K661" s="27"/>
      <c r="L661" s="28"/>
      <c r="M661" s="29" t="str">
        <f t="shared" si="50"/>
        <v/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2580</v>
      </c>
      <c r="C662" s="44" t="s">
        <v>2581</v>
      </c>
      <c r="D662" s="42" t="s">
        <v>2235</v>
      </c>
      <c r="E662" s="46"/>
      <c r="F662" s="26"/>
      <c r="G662" s="26"/>
      <c r="H662" s="26"/>
      <c r="I662" s="26"/>
      <c r="J662" s="26"/>
      <c r="K662" s="27"/>
      <c r="L662" s="28"/>
      <c r="M662" s="29" t="str">
        <f t="shared" si="50"/>
        <v/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2582</v>
      </c>
      <c r="C663" s="25" t="s">
        <v>2583</v>
      </c>
      <c r="D663" s="23" t="s">
        <v>2235</v>
      </c>
      <c r="E663" s="46"/>
      <c r="F663" s="26"/>
      <c r="G663" s="26"/>
      <c r="H663" s="26"/>
      <c r="I663" s="26"/>
      <c r="J663" s="26"/>
      <c r="K663" s="27"/>
      <c r="L663" s="28"/>
      <c r="M663" s="29" t="str">
        <f t="shared" si="50"/>
        <v/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2584</v>
      </c>
      <c r="C664" s="44" t="s">
        <v>2585</v>
      </c>
      <c r="D664" s="42" t="s">
        <v>2235</v>
      </c>
      <c r="E664" s="46"/>
      <c r="F664" s="26"/>
      <c r="G664" s="26"/>
      <c r="H664" s="26"/>
      <c r="I664" s="26"/>
      <c r="J664" s="26"/>
      <c r="K664" s="27"/>
      <c r="L664" s="28"/>
      <c r="M664" s="29" t="str">
        <f t="shared" si="50"/>
        <v/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2586</v>
      </c>
      <c r="C665" s="25" t="s">
        <v>2587</v>
      </c>
      <c r="D665" s="23" t="s">
        <v>2235</v>
      </c>
      <c r="E665" s="46"/>
      <c r="F665" s="26"/>
      <c r="G665" s="26"/>
      <c r="H665" s="26"/>
      <c r="I665" s="26"/>
      <c r="J665" s="26"/>
      <c r="K665" s="27"/>
      <c r="L665" s="28"/>
      <c r="M665" s="29" t="str">
        <f t="shared" si="50"/>
        <v/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2588</v>
      </c>
      <c r="C666" s="44" t="s">
        <v>2589</v>
      </c>
      <c r="D666" s="42" t="s">
        <v>2235</v>
      </c>
      <c r="E666" s="46"/>
      <c r="F666" s="26"/>
      <c r="G666" s="26"/>
      <c r="H666" s="26"/>
      <c r="I666" s="26"/>
      <c r="J666" s="26"/>
      <c r="K666" s="27"/>
      <c r="L666" s="28"/>
      <c r="M666" s="29" t="str">
        <f t="shared" si="50"/>
        <v/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2590</v>
      </c>
      <c r="C667" s="25" t="s">
        <v>2591</v>
      </c>
      <c r="D667" s="23" t="s">
        <v>2235</v>
      </c>
      <c r="E667" s="46"/>
      <c r="F667" s="26"/>
      <c r="G667" s="26"/>
      <c r="H667" s="26"/>
      <c r="I667" s="26"/>
      <c r="J667" s="26"/>
      <c r="K667" s="27"/>
      <c r="L667" s="28"/>
      <c r="M667" s="29" t="str">
        <f t="shared" si="50"/>
        <v/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2592</v>
      </c>
      <c r="C668" s="44" t="s">
        <v>2593</v>
      </c>
      <c r="D668" s="42" t="s">
        <v>2235</v>
      </c>
      <c r="E668" s="46"/>
      <c r="F668" s="26"/>
      <c r="G668" s="26"/>
      <c r="H668" s="26"/>
      <c r="I668" s="26"/>
      <c r="J668" s="26"/>
      <c r="K668" s="27"/>
      <c r="L668" s="28"/>
      <c r="M668" s="29" t="str">
        <f t="shared" si="50"/>
        <v/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2594</v>
      </c>
      <c r="C669" s="25" t="s">
        <v>2595</v>
      </c>
      <c r="D669" s="23" t="s">
        <v>2235</v>
      </c>
      <c r="E669" s="46"/>
      <c r="F669" s="26"/>
      <c r="G669" s="26"/>
      <c r="H669" s="26"/>
      <c r="I669" s="26"/>
      <c r="J669" s="26"/>
      <c r="K669" s="27"/>
      <c r="L669" s="28"/>
      <c r="M669" s="29" t="str">
        <f t="shared" si="50"/>
        <v/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2596</v>
      </c>
      <c r="C670" s="44" t="s">
        <v>2597</v>
      </c>
      <c r="D670" s="42" t="s">
        <v>2235</v>
      </c>
      <c r="E670" s="46"/>
      <c r="F670" s="26"/>
      <c r="G670" s="26"/>
      <c r="H670" s="26"/>
      <c r="I670" s="26"/>
      <c r="J670" s="26"/>
      <c r="K670" s="27"/>
      <c r="L670" s="28"/>
      <c r="M670" s="29" t="str">
        <f t="shared" si="50"/>
        <v/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2598</v>
      </c>
      <c r="C671" s="25" t="s">
        <v>2599</v>
      </c>
      <c r="D671" s="23" t="s">
        <v>2235</v>
      </c>
      <c r="E671" s="46"/>
      <c r="F671" s="26"/>
      <c r="G671" s="26"/>
      <c r="H671" s="26"/>
      <c r="I671" s="26"/>
      <c r="J671" s="26"/>
      <c r="K671" s="27"/>
      <c r="L671" s="28"/>
      <c r="M671" s="29" t="str">
        <f t="shared" si="50"/>
        <v/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2600</v>
      </c>
      <c r="C672" s="44" t="s">
        <v>2601</v>
      </c>
      <c r="D672" s="42" t="s">
        <v>2235</v>
      </c>
      <c r="E672" s="46"/>
      <c r="F672" s="26"/>
      <c r="G672" s="26"/>
      <c r="H672" s="26"/>
      <c r="I672" s="26"/>
      <c r="J672" s="26"/>
      <c r="K672" s="27"/>
      <c r="L672" s="28"/>
      <c r="M672" s="29" t="str">
        <f t="shared" si="50"/>
        <v/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2602</v>
      </c>
      <c r="C673" s="25" t="s">
        <v>2603</v>
      </c>
      <c r="D673" s="23" t="s">
        <v>2235</v>
      </c>
      <c r="E673" s="46"/>
      <c r="F673" s="26"/>
      <c r="G673" s="26"/>
      <c r="H673" s="26"/>
      <c r="I673" s="26"/>
      <c r="J673" s="26"/>
      <c r="K673" s="27"/>
      <c r="L673" s="28"/>
      <c r="M673" s="29" t="str">
        <f t="shared" si="50"/>
        <v/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2604</v>
      </c>
      <c r="C674" s="44" t="s">
        <v>2605</v>
      </c>
      <c r="D674" s="42" t="s">
        <v>2235</v>
      </c>
      <c r="E674" s="46"/>
      <c r="F674" s="26"/>
      <c r="G674" s="26"/>
      <c r="H674" s="26"/>
      <c r="I674" s="26"/>
      <c r="J674" s="26"/>
      <c r="K674" s="27"/>
      <c r="L674" s="28"/>
      <c r="M674" s="29" t="str">
        <f t="shared" si="50"/>
        <v/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2606</v>
      </c>
      <c r="C675" s="25" t="s">
        <v>2607</v>
      </c>
      <c r="D675" s="23" t="s">
        <v>2235</v>
      </c>
      <c r="E675" s="46"/>
      <c r="F675" s="26"/>
      <c r="G675" s="26"/>
      <c r="H675" s="26"/>
      <c r="I675" s="26"/>
      <c r="J675" s="26"/>
      <c r="K675" s="27"/>
      <c r="L675" s="28"/>
      <c r="M675" s="29" t="str">
        <f t="shared" si="50"/>
        <v/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2608</v>
      </c>
      <c r="C676" s="44" t="s">
        <v>2609</v>
      </c>
      <c r="D676" s="42" t="s">
        <v>2235</v>
      </c>
      <c r="E676" s="46"/>
      <c r="F676" s="26"/>
      <c r="G676" s="26"/>
      <c r="H676" s="26"/>
      <c r="I676" s="26"/>
      <c r="J676" s="26"/>
      <c r="K676" s="27"/>
      <c r="L676" s="28"/>
      <c r="M676" s="29" t="str">
        <f t="shared" si="50"/>
        <v/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2610</v>
      </c>
      <c r="C677" s="25" t="s">
        <v>2611</v>
      </c>
      <c r="D677" s="23" t="s">
        <v>2235</v>
      </c>
      <c r="E677" s="46"/>
      <c r="F677" s="26"/>
      <c r="G677" s="26"/>
      <c r="H677" s="26"/>
      <c r="I677" s="26"/>
      <c r="J677" s="26"/>
      <c r="K677" s="27"/>
      <c r="L677" s="28"/>
      <c r="M677" s="29" t="str">
        <f t="shared" si="50"/>
        <v/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2612</v>
      </c>
      <c r="C678" s="44" t="s">
        <v>2613</v>
      </c>
      <c r="D678" s="42" t="s">
        <v>2235</v>
      </c>
      <c r="E678" s="46"/>
      <c r="F678" s="26"/>
      <c r="G678" s="26"/>
      <c r="H678" s="26"/>
      <c r="I678" s="26"/>
      <c r="J678" s="26"/>
      <c r="K678" s="27"/>
      <c r="L678" s="28"/>
      <c r="M678" s="29" t="str">
        <f t="shared" si="50"/>
        <v/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2614</v>
      </c>
      <c r="C679" s="25" t="s">
        <v>2615</v>
      </c>
      <c r="D679" s="23" t="s">
        <v>2235</v>
      </c>
      <c r="E679" s="46"/>
      <c r="F679" s="26"/>
      <c r="G679" s="26"/>
      <c r="H679" s="26"/>
      <c r="I679" s="26"/>
      <c r="J679" s="26"/>
      <c r="K679" s="27"/>
      <c r="L679" s="28"/>
      <c r="M679" s="29" t="str">
        <f t="shared" si="50"/>
        <v/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2616</v>
      </c>
      <c r="C680" s="44" t="s">
        <v>2617</v>
      </c>
      <c r="D680" s="42" t="s">
        <v>2235</v>
      </c>
      <c r="E680" s="46"/>
      <c r="F680" s="26"/>
      <c r="G680" s="26"/>
      <c r="H680" s="26"/>
      <c r="I680" s="26"/>
      <c r="J680" s="26"/>
      <c r="K680" s="27"/>
      <c r="L680" s="28"/>
      <c r="M680" s="29" t="str">
        <f t="shared" si="50"/>
        <v/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2618</v>
      </c>
      <c r="C681" s="25" t="s">
        <v>2619</v>
      </c>
      <c r="D681" s="23" t="s">
        <v>2235</v>
      </c>
      <c r="E681" s="46"/>
      <c r="F681" s="26"/>
      <c r="G681" s="26"/>
      <c r="H681" s="26"/>
      <c r="I681" s="26"/>
      <c r="J681" s="26"/>
      <c r="K681" s="27"/>
      <c r="L681" s="28"/>
      <c r="M681" s="29" t="str">
        <f t="shared" si="50"/>
        <v/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2620</v>
      </c>
      <c r="C682" s="44" t="s">
        <v>2621</v>
      </c>
      <c r="D682" s="42" t="s">
        <v>2235</v>
      </c>
      <c r="E682" s="46"/>
      <c r="F682" s="26"/>
      <c r="G682" s="26"/>
      <c r="H682" s="26"/>
      <c r="I682" s="26"/>
      <c r="J682" s="26"/>
      <c r="K682" s="27"/>
      <c r="L682" s="28"/>
      <c r="M682" s="29" t="str">
        <f t="shared" si="50"/>
        <v/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2622</v>
      </c>
      <c r="C683" s="25" t="s">
        <v>2623</v>
      </c>
      <c r="D683" s="23" t="s">
        <v>2235</v>
      </c>
      <c r="E683" s="46"/>
      <c r="F683" s="26"/>
      <c r="G683" s="26"/>
      <c r="H683" s="26"/>
      <c r="I683" s="26"/>
      <c r="J683" s="26"/>
      <c r="K683" s="27"/>
      <c r="L683" s="28"/>
      <c r="M683" s="29" t="str">
        <f t="shared" si="50"/>
        <v/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2624</v>
      </c>
      <c r="C684" s="44" t="s">
        <v>2625</v>
      </c>
      <c r="D684" s="42" t="s">
        <v>2235</v>
      </c>
      <c r="E684" s="46"/>
      <c r="F684" s="26"/>
      <c r="G684" s="26"/>
      <c r="H684" s="26"/>
      <c r="I684" s="26"/>
      <c r="J684" s="26"/>
      <c r="K684" s="27"/>
      <c r="L684" s="28"/>
      <c r="M684" s="29" t="str">
        <f t="shared" si="50"/>
        <v/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2626</v>
      </c>
      <c r="C685" s="25" t="s">
        <v>2627</v>
      </c>
      <c r="D685" s="23" t="s">
        <v>2235</v>
      </c>
      <c r="E685" s="46"/>
      <c r="F685" s="26"/>
      <c r="G685" s="26"/>
      <c r="H685" s="26"/>
      <c r="I685" s="26"/>
      <c r="J685" s="26"/>
      <c r="K685" s="27"/>
      <c r="L685" s="28"/>
      <c r="M685" s="29" t="str">
        <f t="shared" si="50"/>
        <v/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2628</v>
      </c>
      <c r="C686" s="44" t="s">
        <v>2629</v>
      </c>
      <c r="D686" s="42" t="s">
        <v>2235</v>
      </c>
      <c r="E686" s="46"/>
      <c r="F686" s="26"/>
      <c r="G686" s="26"/>
      <c r="H686" s="26"/>
      <c r="I686" s="26"/>
      <c r="J686" s="26"/>
      <c r="K686" s="27"/>
      <c r="L686" s="28"/>
      <c r="M686" s="29" t="str">
        <f t="shared" si="50"/>
        <v/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2630</v>
      </c>
      <c r="C687" s="25" t="s">
        <v>2631</v>
      </c>
      <c r="D687" s="23" t="s">
        <v>2235</v>
      </c>
      <c r="E687" s="46"/>
      <c r="F687" s="26"/>
      <c r="G687" s="26"/>
      <c r="H687" s="26"/>
      <c r="I687" s="26"/>
      <c r="J687" s="26"/>
      <c r="K687" s="27"/>
      <c r="L687" s="28"/>
      <c r="M687" s="29" t="str">
        <f t="shared" si="50"/>
        <v/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2632</v>
      </c>
      <c r="C688" s="44" t="s">
        <v>2633</v>
      </c>
      <c r="D688" s="42" t="s">
        <v>2235</v>
      </c>
      <c r="E688" s="46"/>
      <c r="F688" s="26"/>
      <c r="G688" s="26"/>
      <c r="H688" s="26"/>
      <c r="I688" s="26"/>
      <c r="J688" s="26"/>
      <c r="K688" s="27"/>
      <c r="L688" s="28"/>
      <c r="M688" s="29" t="str">
        <f t="shared" si="50"/>
        <v/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2634</v>
      </c>
      <c r="C689" s="25" t="s">
        <v>2635</v>
      </c>
      <c r="D689" s="23" t="s">
        <v>2235</v>
      </c>
      <c r="E689" s="46"/>
      <c r="F689" s="26"/>
      <c r="G689" s="26"/>
      <c r="H689" s="26"/>
      <c r="I689" s="26"/>
      <c r="J689" s="26"/>
      <c r="K689" s="27"/>
      <c r="L689" s="28"/>
      <c r="M689" s="29" t="str">
        <f t="shared" si="50"/>
        <v/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2636</v>
      </c>
      <c r="C690" s="44" t="s">
        <v>2637</v>
      </c>
      <c r="D690" s="42" t="s">
        <v>2235</v>
      </c>
      <c r="E690" s="46"/>
      <c r="F690" s="26"/>
      <c r="G690" s="26"/>
      <c r="H690" s="26"/>
      <c r="I690" s="26"/>
      <c r="J690" s="26"/>
      <c r="K690" s="27"/>
      <c r="L690" s="28"/>
      <c r="M690" s="29" t="str">
        <f t="shared" si="50"/>
        <v/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2638</v>
      </c>
      <c r="C691" s="25" t="s">
        <v>2639</v>
      </c>
      <c r="D691" s="23" t="s">
        <v>2235</v>
      </c>
      <c r="E691" s="46"/>
      <c r="F691" s="26"/>
      <c r="G691" s="26"/>
      <c r="H691" s="26"/>
      <c r="I691" s="26"/>
      <c r="J691" s="26"/>
      <c r="K691" s="27"/>
      <c r="L691" s="28"/>
      <c r="M691" s="29" t="str">
        <f t="shared" si="50"/>
        <v/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2640</v>
      </c>
      <c r="C692" s="44" t="s">
        <v>2641</v>
      </c>
      <c r="D692" s="42" t="s">
        <v>2235</v>
      </c>
      <c r="E692" s="46"/>
      <c r="F692" s="26"/>
      <c r="G692" s="26"/>
      <c r="H692" s="26"/>
      <c r="I692" s="26"/>
      <c r="J692" s="26"/>
      <c r="K692" s="27"/>
      <c r="L692" s="28"/>
      <c r="M692" s="29" t="str">
        <f t="shared" si="50"/>
        <v/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2642</v>
      </c>
      <c r="C693" s="25" t="s">
        <v>2643</v>
      </c>
      <c r="D693" s="23" t="s">
        <v>2235</v>
      </c>
      <c r="E693" s="46"/>
      <c r="F693" s="26"/>
      <c r="G693" s="26"/>
      <c r="H693" s="26"/>
      <c r="I693" s="26"/>
      <c r="J693" s="26"/>
      <c r="K693" s="27"/>
      <c r="L693" s="28"/>
      <c r="M693" s="29" t="str">
        <f t="shared" si="50"/>
        <v/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2644</v>
      </c>
      <c r="C694" s="44" t="s">
        <v>2645</v>
      </c>
      <c r="D694" s="42" t="s">
        <v>2235</v>
      </c>
      <c r="E694" s="46"/>
      <c r="F694" s="26"/>
      <c r="G694" s="26"/>
      <c r="H694" s="26"/>
      <c r="I694" s="26"/>
      <c r="J694" s="26"/>
      <c r="K694" s="27"/>
      <c r="L694" s="28"/>
      <c r="M694" s="29" t="str">
        <f t="shared" si="50"/>
        <v/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2646</v>
      </c>
      <c r="C695" s="25" t="s">
        <v>2647</v>
      </c>
      <c r="D695" s="23" t="s">
        <v>2235</v>
      </c>
      <c r="E695" s="46"/>
      <c r="F695" s="26"/>
      <c r="G695" s="26"/>
      <c r="H695" s="26"/>
      <c r="I695" s="26"/>
      <c r="J695" s="26"/>
      <c r="K695" s="27"/>
      <c r="L695" s="28"/>
      <c r="M695" s="29" t="str">
        <f t="shared" si="50"/>
        <v/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2648</v>
      </c>
      <c r="C696" s="44" t="s">
        <v>2649</v>
      </c>
      <c r="D696" s="42" t="s">
        <v>2235</v>
      </c>
      <c r="E696" s="46"/>
      <c r="F696" s="26"/>
      <c r="G696" s="26"/>
      <c r="H696" s="26"/>
      <c r="I696" s="26"/>
      <c r="J696" s="26"/>
      <c r="K696" s="27"/>
      <c r="L696" s="28"/>
      <c r="M696" s="29" t="str">
        <f t="shared" si="50"/>
        <v/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2650</v>
      </c>
      <c r="C697" s="25" t="s">
        <v>2651</v>
      </c>
      <c r="D697" s="23" t="s">
        <v>2235</v>
      </c>
      <c r="E697" s="46"/>
      <c r="F697" s="26"/>
      <c r="G697" s="26"/>
      <c r="H697" s="26"/>
      <c r="I697" s="26"/>
      <c r="J697" s="26"/>
      <c r="K697" s="27"/>
      <c r="L697" s="28"/>
      <c r="M697" s="29" t="str">
        <f t="shared" si="50"/>
        <v/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2652</v>
      </c>
      <c r="C698" s="44" t="s">
        <v>2653</v>
      </c>
      <c r="D698" s="42" t="s">
        <v>2235</v>
      </c>
      <c r="E698" s="46"/>
      <c r="F698" s="26"/>
      <c r="G698" s="26"/>
      <c r="H698" s="26"/>
      <c r="I698" s="26"/>
      <c r="J698" s="26"/>
      <c r="K698" s="27"/>
      <c r="L698" s="28"/>
      <c r="M698" s="29" t="str">
        <f t="shared" si="50"/>
        <v/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2654</v>
      </c>
      <c r="C699" s="25" t="s">
        <v>2655</v>
      </c>
      <c r="D699" s="23" t="s">
        <v>2235</v>
      </c>
      <c r="E699" s="46"/>
      <c r="F699" s="26"/>
      <c r="G699" s="26"/>
      <c r="H699" s="26"/>
      <c r="I699" s="26"/>
      <c r="J699" s="26"/>
      <c r="K699" s="27"/>
      <c r="L699" s="28"/>
      <c r="M699" s="29" t="str">
        <f t="shared" si="50"/>
        <v/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2656</v>
      </c>
      <c r="C700" s="44" t="s">
        <v>2657</v>
      </c>
      <c r="D700" s="42" t="s">
        <v>2235</v>
      </c>
      <c r="E700" s="46"/>
      <c r="F700" s="26"/>
      <c r="G700" s="26"/>
      <c r="H700" s="26"/>
      <c r="I700" s="26"/>
      <c r="J700" s="26"/>
      <c r="K700" s="27"/>
      <c r="L700" s="28"/>
      <c r="M700" s="29" t="str">
        <f t="shared" si="50"/>
        <v/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2658</v>
      </c>
      <c r="C701" s="25" t="s">
        <v>2659</v>
      </c>
      <c r="D701" s="23" t="s">
        <v>2235</v>
      </c>
      <c r="E701" s="46"/>
      <c r="F701" s="26"/>
      <c r="G701" s="26"/>
      <c r="H701" s="26"/>
      <c r="I701" s="26"/>
      <c r="J701" s="26"/>
      <c r="K701" s="27"/>
      <c r="L701" s="28"/>
      <c r="M701" s="29" t="str">
        <f t="shared" si="50"/>
        <v/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2660</v>
      </c>
      <c r="C702" s="44" t="s">
        <v>2661</v>
      </c>
      <c r="D702" s="42" t="s">
        <v>2235</v>
      </c>
      <c r="E702" s="46"/>
      <c r="F702" s="26"/>
      <c r="G702" s="26"/>
      <c r="H702" s="26"/>
      <c r="I702" s="26"/>
      <c r="J702" s="26"/>
      <c r="K702" s="27"/>
      <c r="L702" s="28"/>
      <c r="M702" s="29" t="str">
        <f t="shared" si="50"/>
        <v/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2662</v>
      </c>
      <c r="C703" s="25" t="s">
        <v>2663</v>
      </c>
      <c r="D703" s="23" t="s">
        <v>2235</v>
      </c>
      <c r="E703" s="46"/>
      <c r="F703" s="26"/>
      <c r="G703" s="26"/>
      <c r="H703" s="26"/>
      <c r="I703" s="26"/>
      <c r="J703" s="26"/>
      <c r="K703" s="27"/>
      <c r="L703" s="28"/>
      <c r="M703" s="29" t="str">
        <f t="shared" si="50"/>
        <v/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2664</v>
      </c>
      <c r="C704" s="44" t="s">
        <v>2665</v>
      </c>
      <c r="D704" s="42" t="s">
        <v>2235</v>
      </c>
      <c r="E704" s="46"/>
      <c r="F704" s="26"/>
      <c r="G704" s="26"/>
      <c r="H704" s="26"/>
      <c r="I704" s="26"/>
      <c r="J704" s="26"/>
      <c r="K704" s="27"/>
      <c r="L704" s="28"/>
      <c r="M704" s="29" t="str">
        <f t="shared" si="50"/>
        <v/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2666</v>
      </c>
      <c r="C705" s="25" t="s">
        <v>2667</v>
      </c>
      <c r="D705" s="23" t="s">
        <v>2235</v>
      </c>
      <c r="E705" s="46"/>
      <c r="F705" s="26"/>
      <c r="G705" s="26"/>
      <c r="H705" s="26"/>
      <c r="I705" s="26"/>
      <c r="J705" s="26"/>
      <c r="K705" s="27"/>
      <c r="L705" s="28"/>
      <c r="M705" s="29" t="str">
        <f t="shared" si="50"/>
        <v/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2668</v>
      </c>
      <c r="C706" s="44" t="s">
        <v>2669</v>
      </c>
      <c r="D706" s="42" t="s">
        <v>2235</v>
      </c>
      <c r="E706" s="46"/>
      <c r="F706" s="26"/>
      <c r="G706" s="26"/>
      <c r="H706" s="26"/>
      <c r="I706" s="26"/>
      <c r="J706" s="26"/>
      <c r="K706" s="27"/>
      <c r="L706" s="28"/>
      <c r="M706" s="29" t="str">
        <f t="shared" si="50"/>
        <v/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2670</v>
      </c>
      <c r="C707" s="25" t="s">
        <v>2671</v>
      </c>
      <c r="D707" s="23" t="s">
        <v>2235</v>
      </c>
      <c r="E707" s="46"/>
      <c r="F707" s="26"/>
      <c r="G707" s="26"/>
      <c r="H707" s="26"/>
      <c r="I707" s="26"/>
      <c r="J707" s="26"/>
      <c r="K707" s="27"/>
      <c r="L707" s="28"/>
      <c r="M707" s="29" t="str">
        <f t="shared" si="50"/>
        <v/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2672</v>
      </c>
      <c r="C708" s="44" t="s">
        <v>2673</v>
      </c>
      <c r="D708" s="42" t="s">
        <v>2235</v>
      </c>
      <c r="E708" s="46"/>
      <c r="F708" s="26"/>
      <c r="G708" s="26"/>
      <c r="H708" s="26"/>
      <c r="I708" s="26"/>
      <c r="J708" s="26"/>
      <c r="K708" s="27"/>
      <c r="L708" s="28"/>
      <c r="M708" s="29" t="str">
        <f t="shared" si="50"/>
        <v/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2674</v>
      </c>
      <c r="C709" s="25" t="s">
        <v>2675</v>
      </c>
      <c r="D709" s="23" t="s">
        <v>2235</v>
      </c>
      <c r="E709" s="46"/>
      <c r="F709" s="26"/>
      <c r="G709" s="26"/>
      <c r="H709" s="26"/>
      <c r="I709" s="26"/>
      <c r="J709" s="26"/>
      <c r="K709" s="27"/>
      <c r="L709" s="28"/>
      <c r="M709" s="29" t="str">
        <f t="shared" ref="M709:M772" si="55">IF(E709="","",IF(H709="Yes","❌ Disc",IF(G709="No","⚠ Missing",IF(J709="Yes","✓ OK","⚠ Check"))))</f>
        <v/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2676</v>
      </c>
      <c r="C710" s="44" t="s">
        <v>2677</v>
      </c>
      <c r="D710" s="42" t="s">
        <v>2235</v>
      </c>
      <c r="E710" s="46"/>
      <c r="F710" s="26"/>
      <c r="G710" s="26"/>
      <c r="H710" s="26"/>
      <c r="I710" s="26"/>
      <c r="J710" s="26"/>
      <c r="K710" s="27"/>
      <c r="L710" s="28"/>
      <c r="M710" s="29" t="str">
        <f t="shared" si="55"/>
        <v/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2678</v>
      </c>
      <c r="C711" s="25" t="s">
        <v>2679</v>
      </c>
      <c r="D711" s="23" t="s">
        <v>2235</v>
      </c>
      <c r="E711" s="46"/>
      <c r="F711" s="26"/>
      <c r="G711" s="26"/>
      <c r="H711" s="26"/>
      <c r="I711" s="26"/>
      <c r="J711" s="26"/>
      <c r="K711" s="27"/>
      <c r="L711" s="28"/>
      <c r="M711" s="29" t="str">
        <f t="shared" si="55"/>
        <v/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2680</v>
      </c>
      <c r="C712" s="44" t="s">
        <v>2681</v>
      </c>
      <c r="D712" s="42" t="s">
        <v>2235</v>
      </c>
      <c r="E712" s="46"/>
      <c r="F712" s="26"/>
      <c r="G712" s="26"/>
      <c r="H712" s="26"/>
      <c r="I712" s="26"/>
      <c r="J712" s="26"/>
      <c r="K712" s="27"/>
      <c r="L712" s="28"/>
      <c r="M712" s="29" t="str">
        <f t="shared" si="55"/>
        <v/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2682</v>
      </c>
      <c r="C713" s="25" t="s">
        <v>2683</v>
      </c>
      <c r="D713" s="23" t="s">
        <v>2235</v>
      </c>
      <c r="E713" s="46"/>
      <c r="F713" s="26"/>
      <c r="G713" s="26"/>
      <c r="H713" s="26"/>
      <c r="I713" s="26"/>
      <c r="J713" s="26"/>
      <c r="K713" s="27"/>
      <c r="L713" s="28"/>
      <c r="M713" s="29" t="str">
        <f t="shared" si="55"/>
        <v/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2684</v>
      </c>
      <c r="C714" s="44" t="s">
        <v>2685</v>
      </c>
      <c r="D714" s="42" t="s">
        <v>2235</v>
      </c>
      <c r="E714" s="46"/>
      <c r="F714" s="26"/>
      <c r="G714" s="26"/>
      <c r="H714" s="26"/>
      <c r="I714" s="26"/>
      <c r="J714" s="26"/>
      <c r="K714" s="27"/>
      <c r="L714" s="28"/>
      <c r="M714" s="29" t="str">
        <f t="shared" si="55"/>
        <v/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2686</v>
      </c>
      <c r="C715" s="25" t="s">
        <v>2687</v>
      </c>
      <c r="D715" s="23" t="s">
        <v>2235</v>
      </c>
      <c r="E715" s="46"/>
      <c r="F715" s="26"/>
      <c r="G715" s="26"/>
      <c r="H715" s="26"/>
      <c r="I715" s="26"/>
      <c r="J715" s="26"/>
      <c r="K715" s="27"/>
      <c r="L715" s="28"/>
      <c r="M715" s="29" t="str">
        <f t="shared" si="55"/>
        <v/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2688</v>
      </c>
      <c r="C716" s="44" t="s">
        <v>2689</v>
      </c>
      <c r="D716" s="42" t="s">
        <v>2235</v>
      </c>
      <c r="E716" s="46"/>
      <c r="F716" s="26"/>
      <c r="G716" s="26"/>
      <c r="H716" s="26"/>
      <c r="I716" s="26"/>
      <c r="J716" s="26"/>
      <c r="K716" s="27"/>
      <c r="L716" s="28"/>
      <c r="M716" s="29" t="str">
        <f t="shared" si="55"/>
        <v/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2690</v>
      </c>
      <c r="C717" s="25" t="s">
        <v>2691</v>
      </c>
      <c r="D717" s="23" t="s">
        <v>2235</v>
      </c>
      <c r="E717" s="46"/>
      <c r="F717" s="26"/>
      <c r="G717" s="26"/>
      <c r="H717" s="26"/>
      <c r="I717" s="26"/>
      <c r="J717" s="26"/>
      <c r="K717" s="27"/>
      <c r="L717" s="28"/>
      <c r="M717" s="29" t="str">
        <f t="shared" si="55"/>
        <v/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2692</v>
      </c>
      <c r="C718" s="44" t="s">
        <v>2693</v>
      </c>
      <c r="D718" s="42" t="s">
        <v>2235</v>
      </c>
      <c r="E718" s="46"/>
      <c r="F718" s="26"/>
      <c r="G718" s="26"/>
      <c r="H718" s="26"/>
      <c r="I718" s="26"/>
      <c r="J718" s="26"/>
      <c r="K718" s="27"/>
      <c r="L718" s="28"/>
      <c r="M718" s="29" t="str">
        <f t="shared" si="55"/>
        <v/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2694</v>
      </c>
      <c r="C719" s="25" t="s">
        <v>2695</v>
      </c>
      <c r="D719" s="23" t="s">
        <v>2235</v>
      </c>
      <c r="E719" s="46"/>
      <c r="F719" s="26"/>
      <c r="G719" s="26"/>
      <c r="H719" s="26"/>
      <c r="I719" s="26"/>
      <c r="J719" s="26"/>
      <c r="K719" s="27"/>
      <c r="L719" s="28"/>
      <c r="M719" s="29" t="str">
        <f t="shared" si="55"/>
        <v/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2696</v>
      </c>
      <c r="C720" s="44" t="s">
        <v>2697</v>
      </c>
      <c r="D720" s="42" t="s">
        <v>2235</v>
      </c>
      <c r="E720" s="46"/>
      <c r="F720" s="26"/>
      <c r="G720" s="26"/>
      <c r="H720" s="26"/>
      <c r="I720" s="26"/>
      <c r="J720" s="26"/>
      <c r="K720" s="27"/>
      <c r="L720" s="28"/>
      <c r="M720" s="29" t="str">
        <f t="shared" si="55"/>
        <v/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2698</v>
      </c>
      <c r="C721" s="25" t="s">
        <v>2699</v>
      </c>
      <c r="D721" s="23" t="s">
        <v>2235</v>
      </c>
      <c r="E721" s="46"/>
      <c r="F721" s="26"/>
      <c r="G721" s="26"/>
      <c r="H721" s="26"/>
      <c r="I721" s="26"/>
      <c r="J721" s="26"/>
      <c r="K721" s="27"/>
      <c r="L721" s="28"/>
      <c r="M721" s="29" t="str">
        <f t="shared" si="55"/>
        <v/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2700</v>
      </c>
      <c r="C722" s="44" t="s">
        <v>2701</v>
      </c>
      <c r="D722" s="42" t="s">
        <v>2235</v>
      </c>
      <c r="E722" s="46"/>
      <c r="F722" s="26"/>
      <c r="G722" s="26"/>
      <c r="H722" s="26"/>
      <c r="I722" s="26"/>
      <c r="J722" s="26"/>
      <c r="K722" s="27"/>
      <c r="L722" s="28"/>
      <c r="M722" s="29" t="str">
        <f t="shared" si="55"/>
        <v/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2702</v>
      </c>
      <c r="C723" s="25" t="s">
        <v>2703</v>
      </c>
      <c r="D723" s="23" t="s">
        <v>2235</v>
      </c>
      <c r="E723" s="46"/>
      <c r="F723" s="26"/>
      <c r="G723" s="26"/>
      <c r="H723" s="26"/>
      <c r="I723" s="26"/>
      <c r="J723" s="26"/>
      <c r="K723" s="27"/>
      <c r="L723" s="28"/>
      <c r="M723" s="29" t="str">
        <f t="shared" si="55"/>
        <v/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2704</v>
      </c>
      <c r="C724" s="44" t="s">
        <v>2705</v>
      </c>
      <c r="D724" s="42" t="s">
        <v>2235</v>
      </c>
      <c r="E724" s="46"/>
      <c r="F724" s="26"/>
      <c r="G724" s="26"/>
      <c r="H724" s="26"/>
      <c r="I724" s="26"/>
      <c r="J724" s="26"/>
      <c r="K724" s="27"/>
      <c r="L724" s="28"/>
      <c r="M724" s="29" t="str">
        <f t="shared" si="55"/>
        <v/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2706</v>
      </c>
      <c r="C725" s="25" t="s">
        <v>2707</v>
      </c>
      <c r="D725" s="23" t="s">
        <v>2235</v>
      </c>
      <c r="E725" s="46"/>
      <c r="F725" s="26"/>
      <c r="G725" s="26"/>
      <c r="H725" s="26"/>
      <c r="I725" s="26"/>
      <c r="J725" s="26"/>
      <c r="K725" s="27"/>
      <c r="L725" s="28"/>
      <c r="M725" s="29" t="str">
        <f t="shared" si="55"/>
        <v/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2708</v>
      </c>
      <c r="C726" s="44" t="s">
        <v>2709</v>
      </c>
      <c r="D726" s="42" t="s">
        <v>2235</v>
      </c>
      <c r="E726" s="46"/>
      <c r="F726" s="26"/>
      <c r="G726" s="26"/>
      <c r="H726" s="26"/>
      <c r="I726" s="26"/>
      <c r="J726" s="26"/>
      <c r="K726" s="27"/>
      <c r="L726" s="28"/>
      <c r="M726" s="29" t="str">
        <f t="shared" si="55"/>
        <v/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2710</v>
      </c>
      <c r="C727" s="25" t="s">
        <v>2711</v>
      </c>
      <c r="D727" s="23" t="s">
        <v>2235</v>
      </c>
      <c r="E727" s="46"/>
      <c r="F727" s="26"/>
      <c r="G727" s="26"/>
      <c r="H727" s="26"/>
      <c r="I727" s="26"/>
      <c r="J727" s="26"/>
      <c r="K727" s="27"/>
      <c r="L727" s="28"/>
      <c r="M727" s="29" t="str">
        <f t="shared" si="55"/>
        <v/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2712</v>
      </c>
      <c r="C728" s="44" t="s">
        <v>2713</v>
      </c>
      <c r="D728" s="42" t="s">
        <v>2235</v>
      </c>
      <c r="E728" s="46"/>
      <c r="F728" s="26"/>
      <c r="G728" s="26"/>
      <c r="H728" s="26"/>
      <c r="I728" s="26"/>
      <c r="J728" s="26"/>
      <c r="K728" s="27"/>
      <c r="L728" s="28"/>
      <c r="M728" s="29" t="str">
        <f t="shared" si="55"/>
        <v/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2714</v>
      </c>
      <c r="C729" s="25" t="s">
        <v>2715</v>
      </c>
      <c r="D729" s="23" t="s">
        <v>2235</v>
      </c>
      <c r="E729" s="46"/>
      <c r="F729" s="26"/>
      <c r="G729" s="26"/>
      <c r="H729" s="26"/>
      <c r="I729" s="26"/>
      <c r="J729" s="26"/>
      <c r="K729" s="27"/>
      <c r="L729" s="28"/>
      <c r="M729" s="29" t="str">
        <f t="shared" si="55"/>
        <v/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2716</v>
      </c>
      <c r="C730" s="44" t="s">
        <v>2717</v>
      </c>
      <c r="D730" s="42" t="s">
        <v>2235</v>
      </c>
      <c r="E730" s="46"/>
      <c r="F730" s="26"/>
      <c r="G730" s="26"/>
      <c r="H730" s="26"/>
      <c r="I730" s="26"/>
      <c r="J730" s="26"/>
      <c r="K730" s="27"/>
      <c r="L730" s="28"/>
      <c r="M730" s="29" t="str">
        <f t="shared" si="55"/>
        <v/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2718</v>
      </c>
      <c r="C731" s="25" t="s">
        <v>2719</v>
      </c>
      <c r="D731" s="23" t="s">
        <v>2235</v>
      </c>
      <c r="E731" s="46"/>
      <c r="F731" s="26"/>
      <c r="G731" s="26"/>
      <c r="H731" s="26"/>
      <c r="I731" s="26"/>
      <c r="J731" s="26"/>
      <c r="K731" s="27"/>
      <c r="L731" s="28"/>
      <c r="M731" s="29" t="str">
        <f t="shared" si="55"/>
        <v/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2720</v>
      </c>
      <c r="C732" s="44" t="s">
        <v>2721</v>
      </c>
      <c r="D732" s="42" t="s">
        <v>2235</v>
      </c>
      <c r="E732" s="46"/>
      <c r="F732" s="26"/>
      <c r="G732" s="26"/>
      <c r="H732" s="26"/>
      <c r="I732" s="26"/>
      <c r="J732" s="26"/>
      <c r="K732" s="27"/>
      <c r="L732" s="28"/>
      <c r="M732" s="29" t="str">
        <f t="shared" si="55"/>
        <v/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2722</v>
      </c>
      <c r="C733" s="25" t="s">
        <v>2723</v>
      </c>
      <c r="D733" s="23" t="s">
        <v>2235</v>
      </c>
      <c r="E733" s="46"/>
      <c r="F733" s="26"/>
      <c r="G733" s="26"/>
      <c r="H733" s="26"/>
      <c r="I733" s="26"/>
      <c r="J733" s="26"/>
      <c r="K733" s="27"/>
      <c r="L733" s="28"/>
      <c r="M733" s="29" t="str">
        <f t="shared" si="55"/>
        <v/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2724</v>
      </c>
      <c r="C734" s="44" t="s">
        <v>2725</v>
      </c>
      <c r="D734" s="42" t="s">
        <v>2235</v>
      </c>
      <c r="E734" s="46"/>
      <c r="F734" s="26"/>
      <c r="G734" s="26"/>
      <c r="H734" s="26"/>
      <c r="I734" s="26"/>
      <c r="J734" s="26"/>
      <c r="K734" s="27"/>
      <c r="L734" s="28"/>
      <c r="M734" s="29" t="str">
        <f t="shared" si="55"/>
        <v/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2726</v>
      </c>
      <c r="C735" s="25" t="s">
        <v>2727</v>
      </c>
      <c r="D735" s="23" t="s">
        <v>2235</v>
      </c>
      <c r="E735" s="46"/>
      <c r="F735" s="26"/>
      <c r="G735" s="26"/>
      <c r="H735" s="26"/>
      <c r="I735" s="26"/>
      <c r="J735" s="26"/>
      <c r="K735" s="27"/>
      <c r="L735" s="28"/>
      <c r="M735" s="29" t="str">
        <f t="shared" si="55"/>
        <v/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2728</v>
      </c>
      <c r="C736" s="44" t="s">
        <v>2729</v>
      </c>
      <c r="D736" s="42" t="s">
        <v>2235</v>
      </c>
      <c r="E736" s="46"/>
      <c r="F736" s="26"/>
      <c r="G736" s="26"/>
      <c r="H736" s="26"/>
      <c r="I736" s="26"/>
      <c r="J736" s="26"/>
      <c r="K736" s="27"/>
      <c r="L736" s="28"/>
      <c r="M736" s="29" t="str">
        <f t="shared" si="55"/>
        <v/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2730</v>
      </c>
      <c r="C737" s="25" t="s">
        <v>2731</v>
      </c>
      <c r="D737" s="23" t="s">
        <v>2235</v>
      </c>
      <c r="E737" s="46"/>
      <c r="F737" s="26"/>
      <c r="G737" s="26"/>
      <c r="H737" s="26"/>
      <c r="I737" s="26"/>
      <c r="J737" s="26"/>
      <c r="K737" s="27"/>
      <c r="L737" s="28"/>
      <c r="M737" s="29" t="str">
        <f t="shared" si="55"/>
        <v/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2732</v>
      </c>
      <c r="C738" s="44" t="s">
        <v>2733</v>
      </c>
      <c r="D738" s="42" t="s">
        <v>2235</v>
      </c>
      <c r="E738" s="46"/>
      <c r="F738" s="26"/>
      <c r="G738" s="26"/>
      <c r="H738" s="26"/>
      <c r="I738" s="26"/>
      <c r="J738" s="26"/>
      <c r="K738" s="27"/>
      <c r="L738" s="28"/>
      <c r="M738" s="29" t="str">
        <f t="shared" si="55"/>
        <v/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2734</v>
      </c>
      <c r="C739" s="25" t="s">
        <v>2735</v>
      </c>
      <c r="D739" s="23" t="s">
        <v>2235</v>
      </c>
      <c r="E739" s="46"/>
      <c r="F739" s="26"/>
      <c r="G739" s="26"/>
      <c r="H739" s="26"/>
      <c r="I739" s="26"/>
      <c r="J739" s="26"/>
      <c r="K739" s="27"/>
      <c r="L739" s="28"/>
      <c r="M739" s="29" t="str">
        <f t="shared" si="55"/>
        <v/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2736</v>
      </c>
      <c r="C740" s="44" t="s">
        <v>2737</v>
      </c>
      <c r="D740" s="42" t="s">
        <v>2235</v>
      </c>
      <c r="E740" s="46"/>
      <c r="F740" s="26"/>
      <c r="G740" s="26"/>
      <c r="H740" s="26"/>
      <c r="I740" s="26"/>
      <c r="J740" s="26"/>
      <c r="K740" s="27"/>
      <c r="L740" s="28"/>
      <c r="M740" s="29" t="str">
        <f t="shared" si="55"/>
        <v/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2738</v>
      </c>
      <c r="C741" s="25" t="s">
        <v>2739</v>
      </c>
      <c r="D741" s="23" t="s">
        <v>2235</v>
      </c>
      <c r="E741" s="46"/>
      <c r="F741" s="26"/>
      <c r="G741" s="26"/>
      <c r="H741" s="26"/>
      <c r="I741" s="26"/>
      <c r="J741" s="26"/>
      <c r="K741" s="27"/>
      <c r="L741" s="28"/>
      <c r="M741" s="29" t="str">
        <f t="shared" si="55"/>
        <v/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2740</v>
      </c>
      <c r="C742" s="44" t="s">
        <v>2741</v>
      </c>
      <c r="D742" s="42" t="s">
        <v>2235</v>
      </c>
      <c r="E742" s="46"/>
      <c r="F742" s="26"/>
      <c r="G742" s="26"/>
      <c r="H742" s="26"/>
      <c r="I742" s="26"/>
      <c r="J742" s="26"/>
      <c r="K742" s="27"/>
      <c r="L742" s="28"/>
      <c r="M742" s="29" t="str">
        <f t="shared" si="55"/>
        <v/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2742</v>
      </c>
      <c r="C743" s="25" t="s">
        <v>2743</v>
      </c>
      <c r="D743" s="23" t="s">
        <v>2235</v>
      </c>
      <c r="E743" s="46"/>
      <c r="F743" s="26"/>
      <c r="G743" s="26"/>
      <c r="H743" s="26"/>
      <c r="I743" s="26"/>
      <c r="J743" s="26"/>
      <c r="K743" s="27"/>
      <c r="L743" s="28"/>
      <c r="M743" s="29" t="str">
        <f t="shared" si="55"/>
        <v/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2744</v>
      </c>
      <c r="C744" s="44" t="s">
        <v>2745</v>
      </c>
      <c r="D744" s="42" t="s">
        <v>2235</v>
      </c>
      <c r="E744" s="46"/>
      <c r="F744" s="26"/>
      <c r="G744" s="26"/>
      <c r="H744" s="26"/>
      <c r="I744" s="26"/>
      <c r="J744" s="26"/>
      <c r="K744" s="27"/>
      <c r="L744" s="28"/>
      <c r="M744" s="29" t="str">
        <f t="shared" si="55"/>
        <v/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2746</v>
      </c>
      <c r="C745" s="25" t="s">
        <v>2747</v>
      </c>
      <c r="D745" s="23" t="s">
        <v>2235</v>
      </c>
      <c r="E745" s="46"/>
      <c r="F745" s="26"/>
      <c r="G745" s="26"/>
      <c r="H745" s="26"/>
      <c r="I745" s="26"/>
      <c r="J745" s="26"/>
      <c r="K745" s="27"/>
      <c r="L745" s="28"/>
      <c r="M745" s="29" t="str">
        <f t="shared" si="55"/>
        <v/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2748</v>
      </c>
      <c r="C746" s="44" t="s">
        <v>2749</v>
      </c>
      <c r="D746" s="42" t="s">
        <v>2235</v>
      </c>
      <c r="E746" s="46"/>
      <c r="F746" s="26"/>
      <c r="G746" s="26"/>
      <c r="H746" s="26"/>
      <c r="I746" s="26"/>
      <c r="J746" s="26"/>
      <c r="K746" s="27"/>
      <c r="L746" s="28"/>
      <c r="M746" s="29" t="str">
        <f t="shared" si="55"/>
        <v/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2750</v>
      </c>
      <c r="C747" s="25" t="s">
        <v>2751</v>
      </c>
      <c r="D747" s="23" t="s">
        <v>2235</v>
      </c>
      <c r="E747" s="46"/>
      <c r="F747" s="26"/>
      <c r="G747" s="26"/>
      <c r="H747" s="26"/>
      <c r="I747" s="26"/>
      <c r="J747" s="26"/>
      <c r="K747" s="27"/>
      <c r="L747" s="28"/>
      <c r="M747" s="29" t="str">
        <f t="shared" si="55"/>
        <v/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2752</v>
      </c>
      <c r="C748" s="44" t="s">
        <v>2753</v>
      </c>
      <c r="D748" s="42" t="s">
        <v>2235</v>
      </c>
      <c r="E748" s="46"/>
      <c r="F748" s="26"/>
      <c r="G748" s="26"/>
      <c r="H748" s="26"/>
      <c r="I748" s="26"/>
      <c r="J748" s="26"/>
      <c r="K748" s="27"/>
      <c r="L748" s="28"/>
      <c r="M748" s="29" t="str">
        <f t="shared" si="55"/>
        <v/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2754</v>
      </c>
      <c r="C749" s="25" t="s">
        <v>2755</v>
      </c>
      <c r="D749" s="23" t="s">
        <v>2235</v>
      </c>
      <c r="E749" s="46"/>
      <c r="F749" s="26"/>
      <c r="G749" s="26"/>
      <c r="H749" s="26"/>
      <c r="I749" s="26"/>
      <c r="J749" s="26"/>
      <c r="K749" s="27"/>
      <c r="L749" s="28"/>
      <c r="M749" s="29" t="str">
        <f t="shared" si="55"/>
        <v/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2756</v>
      </c>
      <c r="C750" s="44" t="s">
        <v>2757</v>
      </c>
      <c r="D750" s="42" t="s">
        <v>2235</v>
      </c>
      <c r="E750" s="46"/>
      <c r="F750" s="26"/>
      <c r="G750" s="26"/>
      <c r="H750" s="26"/>
      <c r="I750" s="26"/>
      <c r="J750" s="26"/>
      <c r="K750" s="27"/>
      <c r="L750" s="28"/>
      <c r="M750" s="29" t="str">
        <f t="shared" si="55"/>
        <v/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2758</v>
      </c>
      <c r="C751" s="25" t="s">
        <v>2759</v>
      </c>
      <c r="D751" s="23" t="s">
        <v>2235</v>
      </c>
      <c r="E751" s="46"/>
      <c r="F751" s="26"/>
      <c r="G751" s="26"/>
      <c r="H751" s="26"/>
      <c r="I751" s="26"/>
      <c r="J751" s="26"/>
      <c r="K751" s="27"/>
      <c r="L751" s="28"/>
      <c r="M751" s="29" t="str">
        <f t="shared" si="55"/>
        <v/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2760</v>
      </c>
      <c r="C752" s="44" t="s">
        <v>2761</v>
      </c>
      <c r="D752" s="42" t="s">
        <v>2235</v>
      </c>
      <c r="E752" s="46"/>
      <c r="F752" s="26"/>
      <c r="G752" s="26"/>
      <c r="H752" s="26"/>
      <c r="I752" s="26"/>
      <c r="J752" s="26"/>
      <c r="K752" s="27"/>
      <c r="L752" s="28"/>
      <c r="M752" s="29" t="str">
        <f t="shared" si="55"/>
        <v/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2762</v>
      </c>
      <c r="C753" s="25" t="s">
        <v>2763</v>
      </c>
      <c r="D753" s="23" t="s">
        <v>2235</v>
      </c>
      <c r="E753" s="46"/>
      <c r="F753" s="26"/>
      <c r="G753" s="26"/>
      <c r="H753" s="26"/>
      <c r="I753" s="26"/>
      <c r="J753" s="26"/>
      <c r="K753" s="27"/>
      <c r="L753" s="28"/>
      <c r="M753" s="29" t="str">
        <f t="shared" si="55"/>
        <v/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2764</v>
      </c>
      <c r="C754" s="44" t="s">
        <v>2765</v>
      </c>
      <c r="D754" s="42" t="s">
        <v>2235</v>
      </c>
      <c r="E754" s="46"/>
      <c r="F754" s="26"/>
      <c r="G754" s="26"/>
      <c r="H754" s="26"/>
      <c r="I754" s="26"/>
      <c r="J754" s="26"/>
      <c r="K754" s="27"/>
      <c r="L754" s="28"/>
      <c r="M754" s="29" t="str">
        <f t="shared" si="55"/>
        <v/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2766</v>
      </c>
      <c r="C755" s="25" t="s">
        <v>2767</v>
      </c>
      <c r="D755" s="23" t="s">
        <v>2235</v>
      </c>
      <c r="E755" s="46"/>
      <c r="F755" s="26"/>
      <c r="G755" s="26"/>
      <c r="H755" s="26"/>
      <c r="I755" s="26"/>
      <c r="J755" s="26"/>
      <c r="K755" s="27"/>
      <c r="L755" s="28"/>
      <c r="M755" s="29" t="str">
        <f t="shared" si="55"/>
        <v/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2768</v>
      </c>
      <c r="C756" s="44" t="s">
        <v>2769</v>
      </c>
      <c r="D756" s="42" t="s">
        <v>2235</v>
      </c>
      <c r="E756" s="46"/>
      <c r="F756" s="26"/>
      <c r="G756" s="26"/>
      <c r="H756" s="26"/>
      <c r="I756" s="26"/>
      <c r="J756" s="26"/>
      <c r="K756" s="27"/>
      <c r="L756" s="28"/>
      <c r="M756" s="29" t="str">
        <f t="shared" si="55"/>
        <v/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2770</v>
      </c>
      <c r="C757" s="25" t="s">
        <v>2771</v>
      </c>
      <c r="D757" s="23" t="s">
        <v>2235</v>
      </c>
      <c r="E757" s="46"/>
      <c r="F757" s="26"/>
      <c r="G757" s="26"/>
      <c r="H757" s="26"/>
      <c r="I757" s="26"/>
      <c r="J757" s="26"/>
      <c r="K757" s="27"/>
      <c r="L757" s="28"/>
      <c r="M757" s="29" t="str">
        <f t="shared" si="55"/>
        <v/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2772</v>
      </c>
      <c r="C758" s="44" t="s">
        <v>2773</v>
      </c>
      <c r="D758" s="42" t="s">
        <v>2235</v>
      </c>
      <c r="E758" s="46"/>
      <c r="F758" s="26"/>
      <c r="G758" s="26"/>
      <c r="H758" s="26"/>
      <c r="I758" s="26"/>
      <c r="J758" s="26"/>
      <c r="K758" s="27"/>
      <c r="L758" s="28"/>
      <c r="M758" s="29" t="str">
        <f t="shared" si="55"/>
        <v/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2774</v>
      </c>
      <c r="C759" s="25" t="s">
        <v>2775</v>
      </c>
      <c r="D759" s="23" t="s">
        <v>2235</v>
      </c>
      <c r="E759" s="46"/>
      <c r="F759" s="26"/>
      <c r="G759" s="26"/>
      <c r="H759" s="26"/>
      <c r="I759" s="26"/>
      <c r="J759" s="26"/>
      <c r="K759" s="27"/>
      <c r="L759" s="28"/>
      <c r="M759" s="29" t="str">
        <f t="shared" si="55"/>
        <v/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2776</v>
      </c>
      <c r="C760" s="44" t="s">
        <v>2777</v>
      </c>
      <c r="D760" s="42" t="s">
        <v>2235</v>
      </c>
      <c r="E760" s="46"/>
      <c r="F760" s="26"/>
      <c r="G760" s="26"/>
      <c r="H760" s="26"/>
      <c r="I760" s="26"/>
      <c r="J760" s="26"/>
      <c r="K760" s="27"/>
      <c r="L760" s="28"/>
      <c r="M760" s="29" t="str">
        <f t="shared" si="55"/>
        <v/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2778</v>
      </c>
      <c r="C761" s="25" t="s">
        <v>2779</v>
      </c>
      <c r="D761" s="23" t="s">
        <v>2235</v>
      </c>
      <c r="E761" s="46"/>
      <c r="F761" s="26"/>
      <c r="G761" s="26"/>
      <c r="H761" s="26"/>
      <c r="I761" s="26"/>
      <c r="J761" s="26"/>
      <c r="K761" s="27"/>
      <c r="L761" s="28"/>
      <c r="M761" s="29" t="str">
        <f t="shared" si="55"/>
        <v/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2780</v>
      </c>
      <c r="C762" s="44" t="s">
        <v>2781</v>
      </c>
      <c r="D762" s="42" t="s">
        <v>2235</v>
      </c>
      <c r="E762" s="46"/>
      <c r="F762" s="26"/>
      <c r="G762" s="26"/>
      <c r="H762" s="26"/>
      <c r="I762" s="26"/>
      <c r="J762" s="26"/>
      <c r="K762" s="27"/>
      <c r="L762" s="28"/>
      <c r="M762" s="29" t="str">
        <f t="shared" si="55"/>
        <v/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2782</v>
      </c>
      <c r="C763" s="25" t="s">
        <v>2783</v>
      </c>
      <c r="D763" s="23" t="s">
        <v>2235</v>
      </c>
      <c r="E763" s="46"/>
      <c r="F763" s="26"/>
      <c r="G763" s="26"/>
      <c r="H763" s="26"/>
      <c r="I763" s="26"/>
      <c r="J763" s="26"/>
      <c r="K763" s="27"/>
      <c r="L763" s="28"/>
      <c r="M763" s="29" t="str">
        <f t="shared" si="55"/>
        <v/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2784</v>
      </c>
      <c r="C764" s="44" t="s">
        <v>2785</v>
      </c>
      <c r="D764" s="42" t="s">
        <v>2235</v>
      </c>
      <c r="E764" s="46"/>
      <c r="F764" s="26"/>
      <c r="G764" s="26"/>
      <c r="H764" s="26"/>
      <c r="I764" s="26"/>
      <c r="J764" s="26"/>
      <c r="K764" s="27"/>
      <c r="L764" s="28"/>
      <c r="M764" s="29" t="str">
        <f t="shared" si="55"/>
        <v/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2786</v>
      </c>
      <c r="C765" s="25" t="s">
        <v>2787</v>
      </c>
      <c r="D765" s="23" t="s">
        <v>2235</v>
      </c>
      <c r="E765" s="46"/>
      <c r="F765" s="26"/>
      <c r="G765" s="26"/>
      <c r="H765" s="26"/>
      <c r="I765" s="26"/>
      <c r="J765" s="26"/>
      <c r="K765" s="27"/>
      <c r="L765" s="28"/>
      <c r="M765" s="29" t="str">
        <f t="shared" si="55"/>
        <v/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2788</v>
      </c>
      <c r="C766" s="44" t="s">
        <v>2789</v>
      </c>
      <c r="D766" s="42" t="s">
        <v>2235</v>
      </c>
      <c r="E766" s="46"/>
      <c r="F766" s="26"/>
      <c r="G766" s="26"/>
      <c r="H766" s="26"/>
      <c r="I766" s="26"/>
      <c r="J766" s="26"/>
      <c r="K766" s="27"/>
      <c r="L766" s="28"/>
      <c r="M766" s="29" t="str">
        <f t="shared" si="55"/>
        <v/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2790</v>
      </c>
      <c r="C767" s="25" t="s">
        <v>2791</v>
      </c>
      <c r="D767" s="23" t="s">
        <v>2235</v>
      </c>
      <c r="E767" s="46"/>
      <c r="F767" s="26"/>
      <c r="G767" s="26"/>
      <c r="H767" s="26"/>
      <c r="I767" s="26"/>
      <c r="J767" s="26"/>
      <c r="K767" s="27"/>
      <c r="L767" s="28"/>
      <c r="M767" s="29" t="str">
        <f t="shared" si="55"/>
        <v/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2792</v>
      </c>
      <c r="C768" s="44" t="s">
        <v>2793</v>
      </c>
      <c r="D768" s="42" t="s">
        <v>2235</v>
      </c>
      <c r="E768" s="46"/>
      <c r="F768" s="26"/>
      <c r="G768" s="26"/>
      <c r="H768" s="26"/>
      <c r="I768" s="26"/>
      <c r="J768" s="26"/>
      <c r="K768" s="27"/>
      <c r="L768" s="28"/>
      <c r="M768" s="29" t="str">
        <f t="shared" si="55"/>
        <v/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2794</v>
      </c>
      <c r="C769" s="25" t="s">
        <v>2795</v>
      </c>
      <c r="D769" s="23" t="s">
        <v>2235</v>
      </c>
      <c r="E769" s="46"/>
      <c r="F769" s="26"/>
      <c r="G769" s="26"/>
      <c r="H769" s="26"/>
      <c r="I769" s="26"/>
      <c r="J769" s="26"/>
      <c r="K769" s="27"/>
      <c r="L769" s="28"/>
      <c r="M769" s="29" t="str">
        <f t="shared" si="55"/>
        <v/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2796</v>
      </c>
      <c r="C770" s="44" t="s">
        <v>2797</v>
      </c>
      <c r="D770" s="42" t="s">
        <v>2235</v>
      </c>
      <c r="E770" s="46"/>
      <c r="F770" s="26"/>
      <c r="G770" s="26"/>
      <c r="H770" s="26"/>
      <c r="I770" s="26"/>
      <c r="J770" s="26"/>
      <c r="K770" s="27"/>
      <c r="L770" s="28"/>
      <c r="M770" s="29" t="str">
        <f t="shared" si="55"/>
        <v/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2798</v>
      </c>
      <c r="C771" s="25" t="s">
        <v>2799</v>
      </c>
      <c r="D771" s="23" t="s">
        <v>2235</v>
      </c>
      <c r="E771" s="46"/>
      <c r="F771" s="26"/>
      <c r="G771" s="26"/>
      <c r="H771" s="26"/>
      <c r="I771" s="26"/>
      <c r="J771" s="26"/>
      <c r="K771" s="27"/>
      <c r="L771" s="28"/>
      <c r="M771" s="29" t="str">
        <f t="shared" si="55"/>
        <v/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2800</v>
      </c>
      <c r="C772" s="44" t="s">
        <v>2801</v>
      </c>
      <c r="D772" s="42" t="s">
        <v>2235</v>
      </c>
      <c r="E772" s="46"/>
      <c r="F772" s="26"/>
      <c r="G772" s="26"/>
      <c r="H772" s="26"/>
      <c r="I772" s="26"/>
      <c r="J772" s="26"/>
      <c r="K772" s="27"/>
      <c r="L772" s="28"/>
      <c r="M772" s="29" t="str">
        <f t="shared" si="55"/>
        <v/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2802</v>
      </c>
      <c r="C773" s="25" t="s">
        <v>2803</v>
      </c>
      <c r="D773" s="23" t="s">
        <v>2235</v>
      </c>
      <c r="E773" s="46"/>
      <c r="F773" s="26"/>
      <c r="G773" s="26"/>
      <c r="H773" s="26"/>
      <c r="I773" s="26"/>
      <c r="J773" s="26"/>
      <c r="K773" s="27"/>
      <c r="L773" s="28"/>
      <c r="M773" s="29" t="str">
        <f t="shared" ref="M773:M836" si="60">IF(E773="","",IF(H773="Yes","❌ Disc",IF(G773="No","⚠ Missing",IF(J773="Yes","✓ OK","⚠ Check"))))</f>
        <v/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2804</v>
      </c>
      <c r="C774" s="44" t="s">
        <v>2805</v>
      </c>
      <c r="D774" s="42" t="s">
        <v>2235</v>
      </c>
      <c r="E774" s="46"/>
      <c r="F774" s="26"/>
      <c r="G774" s="26"/>
      <c r="H774" s="26"/>
      <c r="I774" s="26"/>
      <c r="J774" s="26"/>
      <c r="K774" s="27"/>
      <c r="L774" s="28"/>
      <c r="M774" s="29" t="str">
        <f t="shared" si="60"/>
        <v/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2806</v>
      </c>
      <c r="C775" s="25" t="s">
        <v>2807</v>
      </c>
      <c r="D775" s="23" t="s">
        <v>2235</v>
      </c>
      <c r="E775" s="46"/>
      <c r="F775" s="26"/>
      <c r="G775" s="26"/>
      <c r="H775" s="26"/>
      <c r="I775" s="26"/>
      <c r="J775" s="26"/>
      <c r="K775" s="27"/>
      <c r="L775" s="28"/>
      <c r="M775" s="29" t="str">
        <f t="shared" si="60"/>
        <v/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2808</v>
      </c>
      <c r="C776" s="44" t="s">
        <v>2809</v>
      </c>
      <c r="D776" s="42" t="s">
        <v>2235</v>
      </c>
      <c r="E776" s="46"/>
      <c r="F776" s="26"/>
      <c r="G776" s="26"/>
      <c r="H776" s="26"/>
      <c r="I776" s="26"/>
      <c r="J776" s="26"/>
      <c r="K776" s="27"/>
      <c r="L776" s="28"/>
      <c r="M776" s="29" t="str">
        <f t="shared" si="60"/>
        <v/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2810</v>
      </c>
      <c r="C777" s="25" t="s">
        <v>2811</v>
      </c>
      <c r="D777" s="23" t="s">
        <v>2235</v>
      </c>
      <c r="E777" s="46"/>
      <c r="F777" s="26"/>
      <c r="G777" s="26"/>
      <c r="H777" s="26"/>
      <c r="I777" s="26"/>
      <c r="J777" s="26"/>
      <c r="K777" s="27"/>
      <c r="L777" s="28"/>
      <c r="M777" s="29" t="str">
        <f t="shared" si="60"/>
        <v/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2812</v>
      </c>
      <c r="C778" s="44" t="s">
        <v>2813</v>
      </c>
      <c r="D778" s="42" t="s">
        <v>2235</v>
      </c>
      <c r="E778" s="46"/>
      <c r="F778" s="26"/>
      <c r="G778" s="26"/>
      <c r="H778" s="26"/>
      <c r="I778" s="26"/>
      <c r="J778" s="26"/>
      <c r="K778" s="27"/>
      <c r="L778" s="28"/>
      <c r="M778" s="29" t="str">
        <f t="shared" si="60"/>
        <v/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2814</v>
      </c>
      <c r="C779" s="25" t="s">
        <v>2815</v>
      </c>
      <c r="D779" s="23" t="s">
        <v>2235</v>
      </c>
      <c r="E779" s="46"/>
      <c r="F779" s="26"/>
      <c r="G779" s="26"/>
      <c r="H779" s="26"/>
      <c r="I779" s="26"/>
      <c r="J779" s="26"/>
      <c r="K779" s="27"/>
      <c r="L779" s="28"/>
      <c r="M779" s="29" t="str">
        <f t="shared" si="60"/>
        <v/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2816</v>
      </c>
      <c r="C780" s="44" t="s">
        <v>2817</v>
      </c>
      <c r="D780" s="42" t="s">
        <v>2235</v>
      </c>
      <c r="E780" s="46"/>
      <c r="F780" s="26"/>
      <c r="G780" s="26"/>
      <c r="H780" s="26"/>
      <c r="I780" s="26"/>
      <c r="J780" s="26"/>
      <c r="K780" s="27"/>
      <c r="L780" s="28"/>
      <c r="M780" s="29" t="str">
        <f t="shared" si="60"/>
        <v/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2818</v>
      </c>
      <c r="C781" s="25" t="s">
        <v>2819</v>
      </c>
      <c r="D781" s="23" t="s">
        <v>2235</v>
      </c>
      <c r="E781" s="46"/>
      <c r="F781" s="26"/>
      <c r="G781" s="26"/>
      <c r="H781" s="26"/>
      <c r="I781" s="26"/>
      <c r="J781" s="26"/>
      <c r="K781" s="27"/>
      <c r="L781" s="28"/>
      <c r="M781" s="29" t="str">
        <f t="shared" si="60"/>
        <v/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2820</v>
      </c>
      <c r="C782" s="44" t="s">
        <v>2821</v>
      </c>
      <c r="D782" s="42" t="s">
        <v>2235</v>
      </c>
      <c r="E782" s="46"/>
      <c r="F782" s="26"/>
      <c r="G782" s="26"/>
      <c r="H782" s="26"/>
      <c r="I782" s="26"/>
      <c r="J782" s="26"/>
      <c r="K782" s="27"/>
      <c r="L782" s="28"/>
      <c r="M782" s="29" t="str">
        <f t="shared" si="60"/>
        <v/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2822</v>
      </c>
      <c r="C783" s="25" t="s">
        <v>2823</v>
      </c>
      <c r="D783" s="23" t="s">
        <v>2235</v>
      </c>
      <c r="E783" s="46"/>
      <c r="F783" s="26"/>
      <c r="G783" s="26"/>
      <c r="H783" s="26"/>
      <c r="I783" s="26"/>
      <c r="J783" s="26"/>
      <c r="K783" s="27"/>
      <c r="L783" s="28"/>
      <c r="M783" s="29" t="str">
        <f t="shared" si="60"/>
        <v/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2824</v>
      </c>
      <c r="C784" s="44" t="s">
        <v>2825</v>
      </c>
      <c r="D784" s="42" t="s">
        <v>2235</v>
      </c>
      <c r="E784" s="46"/>
      <c r="F784" s="26"/>
      <c r="G784" s="26"/>
      <c r="H784" s="26"/>
      <c r="I784" s="26"/>
      <c r="J784" s="26"/>
      <c r="K784" s="27"/>
      <c r="L784" s="28"/>
      <c r="M784" s="29" t="str">
        <f t="shared" si="60"/>
        <v/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2826</v>
      </c>
      <c r="C785" s="25" t="s">
        <v>2827</v>
      </c>
      <c r="D785" s="23" t="s">
        <v>2235</v>
      </c>
      <c r="E785" s="46"/>
      <c r="F785" s="26"/>
      <c r="G785" s="26"/>
      <c r="H785" s="26"/>
      <c r="I785" s="26"/>
      <c r="J785" s="26"/>
      <c r="K785" s="27"/>
      <c r="L785" s="28"/>
      <c r="M785" s="29" t="str">
        <f t="shared" si="60"/>
        <v/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2828</v>
      </c>
      <c r="C786" s="44" t="s">
        <v>2829</v>
      </c>
      <c r="D786" s="42" t="s">
        <v>2235</v>
      </c>
      <c r="E786" s="46"/>
      <c r="F786" s="26"/>
      <c r="G786" s="26"/>
      <c r="H786" s="26"/>
      <c r="I786" s="26"/>
      <c r="J786" s="26"/>
      <c r="K786" s="27"/>
      <c r="L786" s="28"/>
      <c r="M786" s="29" t="str">
        <f t="shared" si="60"/>
        <v/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2830</v>
      </c>
      <c r="C787" s="25" t="s">
        <v>2831</v>
      </c>
      <c r="D787" s="23" t="s">
        <v>2235</v>
      </c>
      <c r="E787" s="46"/>
      <c r="F787" s="26"/>
      <c r="G787" s="26"/>
      <c r="H787" s="26"/>
      <c r="I787" s="26"/>
      <c r="J787" s="26"/>
      <c r="K787" s="27"/>
      <c r="L787" s="28"/>
      <c r="M787" s="29" t="str">
        <f t="shared" si="60"/>
        <v/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2832</v>
      </c>
      <c r="C788" s="44" t="s">
        <v>2833</v>
      </c>
      <c r="D788" s="42" t="s">
        <v>2235</v>
      </c>
      <c r="E788" s="46"/>
      <c r="F788" s="26"/>
      <c r="G788" s="26"/>
      <c r="H788" s="26"/>
      <c r="I788" s="26"/>
      <c r="J788" s="26"/>
      <c r="K788" s="27"/>
      <c r="L788" s="28"/>
      <c r="M788" s="29" t="str">
        <f t="shared" si="60"/>
        <v/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2834</v>
      </c>
      <c r="C789" s="25" t="s">
        <v>2835</v>
      </c>
      <c r="D789" s="23" t="s">
        <v>2235</v>
      </c>
      <c r="E789" s="46"/>
      <c r="F789" s="26"/>
      <c r="G789" s="26"/>
      <c r="H789" s="26"/>
      <c r="I789" s="26"/>
      <c r="J789" s="26"/>
      <c r="K789" s="27"/>
      <c r="L789" s="28"/>
      <c r="M789" s="29" t="str">
        <f t="shared" si="60"/>
        <v/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2836</v>
      </c>
      <c r="C790" s="44" t="s">
        <v>2837</v>
      </c>
      <c r="D790" s="42" t="s">
        <v>2235</v>
      </c>
      <c r="E790" s="46"/>
      <c r="F790" s="26"/>
      <c r="G790" s="26"/>
      <c r="H790" s="26"/>
      <c r="I790" s="26"/>
      <c r="J790" s="26"/>
      <c r="K790" s="27"/>
      <c r="L790" s="28"/>
      <c r="M790" s="29" t="str">
        <f t="shared" si="60"/>
        <v/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2838</v>
      </c>
      <c r="C791" s="25" t="s">
        <v>2839</v>
      </c>
      <c r="D791" s="23" t="s">
        <v>2235</v>
      </c>
      <c r="E791" s="46"/>
      <c r="F791" s="26"/>
      <c r="G791" s="26"/>
      <c r="H791" s="26"/>
      <c r="I791" s="26"/>
      <c r="J791" s="26"/>
      <c r="K791" s="27"/>
      <c r="L791" s="28"/>
      <c r="M791" s="29" t="str">
        <f t="shared" si="60"/>
        <v/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2840</v>
      </c>
      <c r="C792" s="44" t="s">
        <v>2841</v>
      </c>
      <c r="D792" s="42" t="s">
        <v>2235</v>
      </c>
      <c r="E792" s="46"/>
      <c r="F792" s="26"/>
      <c r="G792" s="26"/>
      <c r="H792" s="26"/>
      <c r="I792" s="26"/>
      <c r="J792" s="26"/>
      <c r="K792" s="27"/>
      <c r="L792" s="28"/>
      <c r="M792" s="29" t="str">
        <f t="shared" si="60"/>
        <v/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2842</v>
      </c>
      <c r="C793" s="25" t="s">
        <v>2843</v>
      </c>
      <c r="D793" s="23" t="s">
        <v>2235</v>
      </c>
      <c r="E793" s="46"/>
      <c r="F793" s="26"/>
      <c r="G793" s="26"/>
      <c r="H793" s="26"/>
      <c r="I793" s="26"/>
      <c r="J793" s="26"/>
      <c r="K793" s="27"/>
      <c r="L793" s="28"/>
      <c r="M793" s="29" t="str">
        <f t="shared" si="60"/>
        <v/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2844</v>
      </c>
      <c r="C794" s="44" t="s">
        <v>2845</v>
      </c>
      <c r="D794" s="42" t="s">
        <v>2235</v>
      </c>
      <c r="E794" s="46"/>
      <c r="F794" s="26"/>
      <c r="G794" s="26"/>
      <c r="H794" s="26"/>
      <c r="I794" s="26"/>
      <c r="J794" s="26"/>
      <c r="K794" s="27"/>
      <c r="L794" s="28"/>
      <c r="M794" s="29" t="str">
        <f t="shared" si="60"/>
        <v/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2846</v>
      </c>
      <c r="C795" s="25" t="s">
        <v>2847</v>
      </c>
      <c r="D795" s="23" t="s">
        <v>2235</v>
      </c>
      <c r="E795" s="46"/>
      <c r="F795" s="26"/>
      <c r="G795" s="26"/>
      <c r="H795" s="26"/>
      <c r="I795" s="26"/>
      <c r="J795" s="26"/>
      <c r="K795" s="27"/>
      <c r="L795" s="28"/>
      <c r="M795" s="29" t="str">
        <f t="shared" si="60"/>
        <v/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2848</v>
      </c>
      <c r="C796" s="44" t="s">
        <v>2849</v>
      </c>
      <c r="D796" s="42" t="s">
        <v>2235</v>
      </c>
      <c r="E796" s="46"/>
      <c r="F796" s="26"/>
      <c r="G796" s="26"/>
      <c r="H796" s="26"/>
      <c r="I796" s="26"/>
      <c r="J796" s="26"/>
      <c r="K796" s="27"/>
      <c r="L796" s="28"/>
      <c r="M796" s="29" t="str">
        <f t="shared" si="60"/>
        <v/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2850</v>
      </c>
      <c r="C797" s="25" t="s">
        <v>2851</v>
      </c>
      <c r="D797" s="23" t="s">
        <v>2235</v>
      </c>
      <c r="E797" s="46"/>
      <c r="F797" s="26"/>
      <c r="G797" s="26"/>
      <c r="H797" s="26"/>
      <c r="I797" s="26"/>
      <c r="J797" s="26"/>
      <c r="K797" s="27"/>
      <c r="L797" s="28"/>
      <c r="M797" s="29" t="str">
        <f t="shared" si="60"/>
        <v/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2852</v>
      </c>
      <c r="C798" s="44" t="s">
        <v>2853</v>
      </c>
      <c r="D798" s="42" t="s">
        <v>2235</v>
      </c>
      <c r="E798" s="46"/>
      <c r="F798" s="26"/>
      <c r="G798" s="26"/>
      <c r="H798" s="26"/>
      <c r="I798" s="26"/>
      <c r="J798" s="26"/>
      <c r="K798" s="27"/>
      <c r="L798" s="28"/>
      <c r="M798" s="29" t="str">
        <f t="shared" si="60"/>
        <v/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2854</v>
      </c>
      <c r="C799" s="25" t="s">
        <v>2855</v>
      </c>
      <c r="D799" s="23" t="s">
        <v>2235</v>
      </c>
      <c r="E799" s="46"/>
      <c r="F799" s="26"/>
      <c r="G799" s="26"/>
      <c r="H799" s="26"/>
      <c r="I799" s="26"/>
      <c r="J799" s="26"/>
      <c r="K799" s="27"/>
      <c r="L799" s="28"/>
      <c r="M799" s="29" t="str">
        <f t="shared" si="60"/>
        <v/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2856</v>
      </c>
      <c r="C800" s="44" t="s">
        <v>2857</v>
      </c>
      <c r="D800" s="42" t="s">
        <v>2235</v>
      </c>
      <c r="E800" s="46"/>
      <c r="F800" s="26"/>
      <c r="G800" s="26"/>
      <c r="H800" s="26"/>
      <c r="I800" s="26"/>
      <c r="J800" s="26"/>
      <c r="K800" s="27"/>
      <c r="L800" s="28"/>
      <c r="M800" s="29" t="str">
        <f t="shared" si="60"/>
        <v/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2858</v>
      </c>
      <c r="C801" s="25" t="s">
        <v>2859</v>
      </c>
      <c r="D801" s="23" t="s">
        <v>2235</v>
      </c>
      <c r="E801" s="46"/>
      <c r="F801" s="26"/>
      <c r="G801" s="26"/>
      <c r="H801" s="26"/>
      <c r="I801" s="26"/>
      <c r="J801" s="26"/>
      <c r="K801" s="27"/>
      <c r="L801" s="28"/>
      <c r="M801" s="29" t="str">
        <f t="shared" si="60"/>
        <v/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2860</v>
      </c>
      <c r="C802" s="44" t="s">
        <v>2861</v>
      </c>
      <c r="D802" s="42" t="s">
        <v>2235</v>
      </c>
      <c r="E802" s="46"/>
      <c r="F802" s="26"/>
      <c r="G802" s="26"/>
      <c r="H802" s="26"/>
      <c r="I802" s="26"/>
      <c r="J802" s="26"/>
      <c r="K802" s="27"/>
      <c r="L802" s="28"/>
      <c r="M802" s="29" t="str">
        <f t="shared" si="60"/>
        <v/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2862</v>
      </c>
      <c r="C803" s="25" t="s">
        <v>2863</v>
      </c>
      <c r="D803" s="23" t="s">
        <v>2235</v>
      </c>
      <c r="E803" s="46"/>
      <c r="F803" s="26"/>
      <c r="G803" s="26"/>
      <c r="H803" s="26"/>
      <c r="I803" s="26"/>
      <c r="J803" s="26"/>
      <c r="K803" s="27"/>
      <c r="L803" s="28"/>
      <c r="M803" s="29" t="str">
        <f t="shared" si="60"/>
        <v/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2864</v>
      </c>
      <c r="C804" s="44" t="s">
        <v>2865</v>
      </c>
      <c r="D804" s="42" t="s">
        <v>2235</v>
      </c>
      <c r="E804" s="46"/>
      <c r="F804" s="26"/>
      <c r="G804" s="26"/>
      <c r="H804" s="26"/>
      <c r="I804" s="26"/>
      <c r="J804" s="26"/>
      <c r="K804" s="27"/>
      <c r="L804" s="28"/>
      <c r="M804" s="29" t="str">
        <f t="shared" si="60"/>
        <v/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2866</v>
      </c>
      <c r="C805" s="25" t="s">
        <v>2867</v>
      </c>
      <c r="D805" s="23" t="s">
        <v>2235</v>
      </c>
      <c r="E805" s="46"/>
      <c r="F805" s="26"/>
      <c r="G805" s="26"/>
      <c r="H805" s="26"/>
      <c r="I805" s="26"/>
      <c r="J805" s="26"/>
      <c r="K805" s="27"/>
      <c r="L805" s="28"/>
      <c r="M805" s="29" t="str">
        <f t="shared" si="60"/>
        <v/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2868</v>
      </c>
      <c r="C806" s="44" t="s">
        <v>2869</v>
      </c>
      <c r="D806" s="42" t="s">
        <v>2235</v>
      </c>
      <c r="E806" s="46"/>
      <c r="F806" s="26"/>
      <c r="G806" s="26"/>
      <c r="H806" s="26"/>
      <c r="I806" s="26"/>
      <c r="J806" s="26"/>
      <c r="K806" s="27"/>
      <c r="L806" s="28"/>
      <c r="M806" s="29" t="str">
        <f t="shared" si="60"/>
        <v/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2870</v>
      </c>
      <c r="C807" s="25" t="s">
        <v>2871</v>
      </c>
      <c r="D807" s="23" t="s">
        <v>2235</v>
      </c>
      <c r="E807" s="46"/>
      <c r="F807" s="26"/>
      <c r="G807" s="26"/>
      <c r="H807" s="26"/>
      <c r="I807" s="26"/>
      <c r="J807" s="26"/>
      <c r="K807" s="27"/>
      <c r="L807" s="28"/>
      <c r="M807" s="29" t="str">
        <f t="shared" si="60"/>
        <v/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2872</v>
      </c>
      <c r="C808" s="44" t="s">
        <v>2873</v>
      </c>
      <c r="D808" s="42" t="s">
        <v>2235</v>
      </c>
      <c r="E808" s="46"/>
      <c r="F808" s="26"/>
      <c r="G808" s="26"/>
      <c r="H808" s="26"/>
      <c r="I808" s="26"/>
      <c r="J808" s="26"/>
      <c r="K808" s="27"/>
      <c r="L808" s="28"/>
      <c r="M808" s="29" t="str">
        <f t="shared" si="60"/>
        <v/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2874</v>
      </c>
      <c r="C809" s="25" t="s">
        <v>2875</v>
      </c>
      <c r="D809" s="23" t="s">
        <v>2235</v>
      </c>
      <c r="E809" s="46"/>
      <c r="F809" s="26"/>
      <c r="G809" s="26"/>
      <c r="H809" s="26"/>
      <c r="I809" s="26"/>
      <c r="J809" s="26"/>
      <c r="K809" s="27"/>
      <c r="L809" s="28"/>
      <c r="M809" s="29" t="str">
        <f t="shared" si="60"/>
        <v/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2876</v>
      </c>
      <c r="C810" s="44" t="s">
        <v>2877</v>
      </c>
      <c r="D810" s="42" t="s">
        <v>2235</v>
      </c>
      <c r="E810" s="46"/>
      <c r="F810" s="26"/>
      <c r="G810" s="26"/>
      <c r="H810" s="26"/>
      <c r="I810" s="26"/>
      <c r="J810" s="26"/>
      <c r="K810" s="27"/>
      <c r="L810" s="28"/>
      <c r="M810" s="29" t="str">
        <f t="shared" si="60"/>
        <v/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2878</v>
      </c>
      <c r="C811" s="25" t="s">
        <v>2879</v>
      </c>
      <c r="D811" s="23" t="s">
        <v>2235</v>
      </c>
      <c r="E811" s="46"/>
      <c r="F811" s="26"/>
      <c r="G811" s="26"/>
      <c r="H811" s="26"/>
      <c r="I811" s="26"/>
      <c r="J811" s="26"/>
      <c r="K811" s="27"/>
      <c r="L811" s="28"/>
      <c r="M811" s="29" t="str">
        <f t="shared" si="60"/>
        <v/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2880</v>
      </c>
      <c r="C812" s="44" t="s">
        <v>2881</v>
      </c>
      <c r="D812" s="42" t="s">
        <v>2235</v>
      </c>
      <c r="E812" s="46"/>
      <c r="F812" s="26"/>
      <c r="G812" s="26"/>
      <c r="H812" s="26"/>
      <c r="I812" s="26"/>
      <c r="J812" s="26"/>
      <c r="K812" s="27"/>
      <c r="L812" s="28"/>
      <c r="M812" s="29" t="str">
        <f t="shared" si="60"/>
        <v/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2882</v>
      </c>
      <c r="C813" s="25" t="s">
        <v>2883</v>
      </c>
      <c r="D813" s="23" t="s">
        <v>2235</v>
      </c>
      <c r="E813" s="46"/>
      <c r="F813" s="26"/>
      <c r="G813" s="26"/>
      <c r="H813" s="26"/>
      <c r="I813" s="26"/>
      <c r="J813" s="26"/>
      <c r="K813" s="27"/>
      <c r="L813" s="28"/>
      <c r="M813" s="29" t="str">
        <f t="shared" si="60"/>
        <v/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2884</v>
      </c>
      <c r="C814" s="44" t="s">
        <v>2885</v>
      </c>
      <c r="D814" s="42" t="s">
        <v>2235</v>
      </c>
      <c r="E814" s="46"/>
      <c r="F814" s="26"/>
      <c r="G814" s="26"/>
      <c r="H814" s="26"/>
      <c r="I814" s="26"/>
      <c r="J814" s="26"/>
      <c r="K814" s="27"/>
      <c r="L814" s="28"/>
      <c r="M814" s="29" t="str">
        <f t="shared" si="60"/>
        <v/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2886</v>
      </c>
      <c r="C815" s="25" t="s">
        <v>2887</v>
      </c>
      <c r="D815" s="23" t="s">
        <v>2235</v>
      </c>
      <c r="E815" s="46"/>
      <c r="F815" s="26"/>
      <c r="G815" s="26"/>
      <c r="H815" s="26"/>
      <c r="I815" s="26"/>
      <c r="J815" s="26"/>
      <c r="K815" s="27"/>
      <c r="L815" s="28"/>
      <c r="M815" s="29" t="str">
        <f t="shared" si="60"/>
        <v/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2888</v>
      </c>
      <c r="C816" s="44" t="s">
        <v>2889</v>
      </c>
      <c r="D816" s="42" t="s">
        <v>2235</v>
      </c>
      <c r="E816" s="46"/>
      <c r="F816" s="26"/>
      <c r="G816" s="26"/>
      <c r="H816" s="26"/>
      <c r="I816" s="26"/>
      <c r="J816" s="26"/>
      <c r="K816" s="27"/>
      <c r="L816" s="28"/>
      <c r="M816" s="29" t="str">
        <f t="shared" si="60"/>
        <v/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2890</v>
      </c>
      <c r="C817" s="25" t="s">
        <v>2891</v>
      </c>
      <c r="D817" s="23" t="s">
        <v>2235</v>
      </c>
      <c r="E817" s="46"/>
      <c r="F817" s="26"/>
      <c r="G817" s="26"/>
      <c r="H817" s="26"/>
      <c r="I817" s="26"/>
      <c r="J817" s="26"/>
      <c r="K817" s="27"/>
      <c r="L817" s="28"/>
      <c r="M817" s="29" t="str">
        <f t="shared" si="60"/>
        <v/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2892</v>
      </c>
      <c r="C818" s="44" t="s">
        <v>2893</v>
      </c>
      <c r="D818" s="42" t="s">
        <v>2235</v>
      </c>
      <c r="E818" s="46"/>
      <c r="F818" s="26"/>
      <c r="G818" s="26"/>
      <c r="H818" s="26"/>
      <c r="I818" s="26"/>
      <c r="J818" s="26"/>
      <c r="K818" s="27"/>
      <c r="L818" s="28"/>
      <c r="M818" s="29" t="str">
        <f t="shared" si="60"/>
        <v/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2894</v>
      </c>
      <c r="C819" s="25" t="s">
        <v>2895</v>
      </c>
      <c r="D819" s="23" t="s">
        <v>2235</v>
      </c>
      <c r="E819" s="46"/>
      <c r="F819" s="26"/>
      <c r="G819" s="26"/>
      <c r="H819" s="26"/>
      <c r="I819" s="26"/>
      <c r="J819" s="26"/>
      <c r="K819" s="27"/>
      <c r="L819" s="28"/>
      <c r="M819" s="29" t="str">
        <f t="shared" si="60"/>
        <v/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2896</v>
      </c>
      <c r="C820" s="44" t="s">
        <v>2897</v>
      </c>
      <c r="D820" s="42" t="s">
        <v>2235</v>
      </c>
      <c r="E820" s="46"/>
      <c r="F820" s="26"/>
      <c r="G820" s="26"/>
      <c r="H820" s="26"/>
      <c r="I820" s="26"/>
      <c r="J820" s="26"/>
      <c r="K820" s="27"/>
      <c r="L820" s="28"/>
      <c r="M820" s="29" t="str">
        <f t="shared" si="60"/>
        <v/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2898</v>
      </c>
      <c r="C821" s="25" t="s">
        <v>2899</v>
      </c>
      <c r="D821" s="23" t="s">
        <v>2235</v>
      </c>
      <c r="E821" s="46"/>
      <c r="F821" s="26"/>
      <c r="G821" s="26"/>
      <c r="H821" s="26"/>
      <c r="I821" s="26"/>
      <c r="J821" s="26"/>
      <c r="K821" s="27"/>
      <c r="L821" s="28"/>
      <c r="M821" s="29" t="str">
        <f t="shared" si="60"/>
        <v/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2900</v>
      </c>
      <c r="C822" s="44" t="s">
        <v>2901</v>
      </c>
      <c r="D822" s="42" t="s">
        <v>2235</v>
      </c>
      <c r="E822" s="46"/>
      <c r="F822" s="26"/>
      <c r="G822" s="26"/>
      <c r="H822" s="26"/>
      <c r="I822" s="26"/>
      <c r="J822" s="26"/>
      <c r="K822" s="27"/>
      <c r="L822" s="28"/>
      <c r="M822" s="29" t="str">
        <f t="shared" si="60"/>
        <v/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2902</v>
      </c>
      <c r="C823" s="25" t="s">
        <v>2903</v>
      </c>
      <c r="D823" s="23" t="s">
        <v>2235</v>
      </c>
      <c r="E823" s="46"/>
      <c r="F823" s="26"/>
      <c r="G823" s="26"/>
      <c r="H823" s="26"/>
      <c r="I823" s="26"/>
      <c r="J823" s="26"/>
      <c r="K823" s="27"/>
      <c r="L823" s="28"/>
      <c r="M823" s="29" t="str">
        <f t="shared" si="60"/>
        <v/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2904</v>
      </c>
      <c r="C824" s="44" t="s">
        <v>2905</v>
      </c>
      <c r="D824" s="42" t="s">
        <v>2235</v>
      </c>
      <c r="E824" s="46"/>
      <c r="F824" s="26"/>
      <c r="G824" s="26"/>
      <c r="H824" s="26"/>
      <c r="I824" s="26"/>
      <c r="J824" s="26"/>
      <c r="K824" s="27"/>
      <c r="L824" s="28"/>
      <c r="M824" s="29" t="str">
        <f t="shared" si="60"/>
        <v/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2906</v>
      </c>
      <c r="C825" s="25" t="s">
        <v>2907</v>
      </c>
      <c r="D825" s="23" t="s">
        <v>2235</v>
      </c>
      <c r="E825" s="46"/>
      <c r="F825" s="26"/>
      <c r="G825" s="26"/>
      <c r="H825" s="26"/>
      <c r="I825" s="26"/>
      <c r="J825" s="26"/>
      <c r="K825" s="27"/>
      <c r="L825" s="28"/>
      <c r="M825" s="29" t="str">
        <f t="shared" si="60"/>
        <v/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2908</v>
      </c>
      <c r="C826" s="44" t="s">
        <v>2909</v>
      </c>
      <c r="D826" s="42" t="s">
        <v>2235</v>
      </c>
      <c r="E826" s="46"/>
      <c r="F826" s="26"/>
      <c r="G826" s="26"/>
      <c r="H826" s="26"/>
      <c r="I826" s="26"/>
      <c r="J826" s="26"/>
      <c r="K826" s="27"/>
      <c r="L826" s="28"/>
      <c r="M826" s="29" t="str">
        <f t="shared" si="60"/>
        <v/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2910</v>
      </c>
      <c r="C827" s="25" t="s">
        <v>2911</v>
      </c>
      <c r="D827" s="23" t="s">
        <v>2235</v>
      </c>
      <c r="E827" s="46"/>
      <c r="F827" s="26"/>
      <c r="G827" s="26"/>
      <c r="H827" s="26"/>
      <c r="I827" s="26"/>
      <c r="J827" s="26"/>
      <c r="K827" s="27"/>
      <c r="L827" s="28"/>
      <c r="M827" s="29" t="str">
        <f t="shared" si="60"/>
        <v/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2912</v>
      </c>
      <c r="C828" s="44" t="s">
        <v>2913</v>
      </c>
      <c r="D828" s="42" t="s">
        <v>2235</v>
      </c>
      <c r="E828" s="46"/>
      <c r="F828" s="26"/>
      <c r="G828" s="26"/>
      <c r="H828" s="26"/>
      <c r="I828" s="26"/>
      <c r="J828" s="26"/>
      <c r="K828" s="27"/>
      <c r="L828" s="28"/>
      <c r="M828" s="29" t="str">
        <f t="shared" si="60"/>
        <v/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2914</v>
      </c>
      <c r="C829" s="25" t="s">
        <v>2915</v>
      </c>
      <c r="D829" s="23" t="s">
        <v>2235</v>
      </c>
      <c r="E829" s="46"/>
      <c r="F829" s="26"/>
      <c r="G829" s="26"/>
      <c r="H829" s="26"/>
      <c r="I829" s="26"/>
      <c r="J829" s="26"/>
      <c r="K829" s="27"/>
      <c r="L829" s="28"/>
      <c r="M829" s="29" t="str">
        <f t="shared" si="60"/>
        <v/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2916</v>
      </c>
      <c r="C830" s="44" t="s">
        <v>2917</v>
      </c>
      <c r="D830" s="42" t="s">
        <v>2235</v>
      </c>
      <c r="E830" s="46"/>
      <c r="F830" s="26"/>
      <c r="G830" s="26"/>
      <c r="H830" s="26"/>
      <c r="I830" s="26"/>
      <c r="J830" s="26"/>
      <c r="K830" s="27"/>
      <c r="L830" s="28"/>
      <c r="M830" s="29" t="str">
        <f t="shared" si="60"/>
        <v/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2918</v>
      </c>
      <c r="C831" s="25" t="s">
        <v>2919</v>
      </c>
      <c r="D831" s="23" t="s">
        <v>2235</v>
      </c>
      <c r="E831" s="46"/>
      <c r="F831" s="26"/>
      <c r="G831" s="26"/>
      <c r="H831" s="26"/>
      <c r="I831" s="26"/>
      <c r="J831" s="26"/>
      <c r="K831" s="27"/>
      <c r="L831" s="28"/>
      <c r="M831" s="29" t="str">
        <f t="shared" si="60"/>
        <v/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2920</v>
      </c>
      <c r="C832" s="44" t="s">
        <v>2921</v>
      </c>
      <c r="D832" s="42" t="s">
        <v>2235</v>
      </c>
      <c r="E832" s="46"/>
      <c r="F832" s="26"/>
      <c r="G832" s="26"/>
      <c r="H832" s="26"/>
      <c r="I832" s="26"/>
      <c r="J832" s="26"/>
      <c r="K832" s="27"/>
      <c r="L832" s="28"/>
      <c r="M832" s="29" t="str">
        <f t="shared" si="60"/>
        <v/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2922</v>
      </c>
      <c r="C833" s="25" t="s">
        <v>2923</v>
      </c>
      <c r="D833" s="23" t="s">
        <v>2235</v>
      </c>
      <c r="E833" s="46"/>
      <c r="F833" s="26"/>
      <c r="G833" s="26"/>
      <c r="H833" s="26"/>
      <c r="I833" s="26"/>
      <c r="J833" s="26"/>
      <c r="K833" s="27"/>
      <c r="L833" s="28"/>
      <c r="M833" s="29" t="str">
        <f t="shared" si="60"/>
        <v/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2924</v>
      </c>
      <c r="C834" s="44" t="s">
        <v>2925</v>
      </c>
      <c r="D834" s="42" t="s">
        <v>2235</v>
      </c>
      <c r="E834" s="46"/>
      <c r="F834" s="26"/>
      <c r="G834" s="26"/>
      <c r="H834" s="26"/>
      <c r="I834" s="26"/>
      <c r="J834" s="26"/>
      <c r="K834" s="27"/>
      <c r="L834" s="28"/>
      <c r="M834" s="29" t="str">
        <f t="shared" si="60"/>
        <v/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2926</v>
      </c>
      <c r="C835" s="25" t="s">
        <v>2927</v>
      </c>
      <c r="D835" s="23" t="s">
        <v>2235</v>
      </c>
      <c r="E835" s="46"/>
      <c r="F835" s="26"/>
      <c r="G835" s="26"/>
      <c r="H835" s="26"/>
      <c r="I835" s="26"/>
      <c r="J835" s="26"/>
      <c r="K835" s="27"/>
      <c r="L835" s="28"/>
      <c r="M835" s="29" t="str">
        <f t="shared" si="60"/>
        <v/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2928</v>
      </c>
      <c r="C836" s="44" t="s">
        <v>2929</v>
      </c>
      <c r="D836" s="42" t="s">
        <v>2235</v>
      </c>
      <c r="E836" s="46"/>
      <c r="F836" s="26"/>
      <c r="G836" s="26"/>
      <c r="H836" s="26"/>
      <c r="I836" s="26"/>
      <c r="J836" s="26"/>
      <c r="K836" s="27"/>
      <c r="L836" s="28"/>
      <c r="M836" s="29" t="str">
        <f t="shared" si="60"/>
        <v/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2930</v>
      </c>
      <c r="C837" s="25" t="s">
        <v>2931</v>
      </c>
      <c r="D837" s="23" t="s">
        <v>2235</v>
      </c>
      <c r="E837" s="46"/>
      <c r="F837" s="26"/>
      <c r="G837" s="26"/>
      <c r="H837" s="26"/>
      <c r="I837" s="26"/>
      <c r="J837" s="26"/>
      <c r="K837" s="27"/>
      <c r="L837" s="28"/>
      <c r="M837" s="29" t="str">
        <f t="shared" ref="M837:M900" si="65">IF(E837="","",IF(H837="Yes","❌ Disc",IF(G837="No","⚠ Missing",IF(J837="Yes","✓ OK","⚠ Check"))))</f>
        <v/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2932</v>
      </c>
      <c r="C838" s="44" t="s">
        <v>2933</v>
      </c>
      <c r="D838" s="42" t="s">
        <v>2235</v>
      </c>
      <c r="E838" s="46"/>
      <c r="F838" s="26"/>
      <c r="G838" s="26"/>
      <c r="H838" s="26"/>
      <c r="I838" s="26"/>
      <c r="J838" s="26"/>
      <c r="K838" s="27"/>
      <c r="L838" s="28"/>
      <c r="M838" s="29" t="str">
        <f t="shared" si="65"/>
        <v/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2934</v>
      </c>
      <c r="C839" s="25" t="s">
        <v>2935</v>
      </c>
      <c r="D839" s="23" t="s">
        <v>2235</v>
      </c>
      <c r="E839" s="46"/>
      <c r="F839" s="26"/>
      <c r="G839" s="26"/>
      <c r="H839" s="26"/>
      <c r="I839" s="26"/>
      <c r="J839" s="26"/>
      <c r="K839" s="27"/>
      <c r="L839" s="28"/>
      <c r="M839" s="29" t="str">
        <f t="shared" si="65"/>
        <v/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2936</v>
      </c>
      <c r="C840" s="44" t="s">
        <v>2937</v>
      </c>
      <c r="D840" s="42" t="s">
        <v>2235</v>
      </c>
      <c r="E840" s="46"/>
      <c r="F840" s="26"/>
      <c r="G840" s="26"/>
      <c r="H840" s="26"/>
      <c r="I840" s="26"/>
      <c r="J840" s="26"/>
      <c r="K840" s="27"/>
      <c r="L840" s="28"/>
      <c r="M840" s="29" t="str">
        <f t="shared" si="65"/>
        <v/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2938</v>
      </c>
      <c r="C841" s="25" t="s">
        <v>2939</v>
      </c>
      <c r="D841" s="23" t="s">
        <v>2235</v>
      </c>
      <c r="E841" s="46"/>
      <c r="F841" s="26"/>
      <c r="G841" s="26"/>
      <c r="H841" s="26"/>
      <c r="I841" s="26"/>
      <c r="J841" s="26"/>
      <c r="K841" s="27"/>
      <c r="L841" s="28"/>
      <c r="M841" s="29" t="str">
        <f t="shared" si="65"/>
        <v/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2940</v>
      </c>
      <c r="C842" s="44" t="s">
        <v>2941</v>
      </c>
      <c r="D842" s="42" t="s">
        <v>2235</v>
      </c>
      <c r="E842" s="46"/>
      <c r="F842" s="26"/>
      <c r="G842" s="26"/>
      <c r="H842" s="26"/>
      <c r="I842" s="26"/>
      <c r="J842" s="26"/>
      <c r="K842" s="27"/>
      <c r="L842" s="28"/>
      <c r="M842" s="29" t="str">
        <f t="shared" si="65"/>
        <v/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2942</v>
      </c>
      <c r="C843" s="25" t="s">
        <v>2943</v>
      </c>
      <c r="D843" s="23" t="s">
        <v>2235</v>
      </c>
      <c r="E843" s="46"/>
      <c r="F843" s="26"/>
      <c r="G843" s="26"/>
      <c r="H843" s="26"/>
      <c r="I843" s="26"/>
      <c r="J843" s="26"/>
      <c r="K843" s="27"/>
      <c r="L843" s="28"/>
      <c r="M843" s="29" t="str">
        <f t="shared" si="65"/>
        <v/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2944</v>
      </c>
      <c r="C844" s="44" t="s">
        <v>2945</v>
      </c>
      <c r="D844" s="42" t="s">
        <v>2235</v>
      </c>
      <c r="E844" s="46"/>
      <c r="F844" s="26"/>
      <c r="G844" s="26"/>
      <c r="H844" s="26"/>
      <c r="I844" s="26"/>
      <c r="J844" s="26"/>
      <c r="K844" s="27"/>
      <c r="L844" s="28"/>
      <c r="M844" s="29" t="str">
        <f t="shared" si="65"/>
        <v/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2946</v>
      </c>
      <c r="C845" s="25" t="s">
        <v>2947</v>
      </c>
      <c r="D845" s="23" t="s">
        <v>2235</v>
      </c>
      <c r="E845" s="46"/>
      <c r="F845" s="26"/>
      <c r="G845" s="26"/>
      <c r="H845" s="26"/>
      <c r="I845" s="26"/>
      <c r="J845" s="26"/>
      <c r="K845" s="27"/>
      <c r="L845" s="28"/>
      <c r="M845" s="29" t="str">
        <f t="shared" si="65"/>
        <v/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2948</v>
      </c>
      <c r="C846" s="44" t="s">
        <v>2949</v>
      </c>
      <c r="D846" s="42" t="s">
        <v>2235</v>
      </c>
      <c r="E846" s="46"/>
      <c r="F846" s="26"/>
      <c r="G846" s="26"/>
      <c r="H846" s="26"/>
      <c r="I846" s="26"/>
      <c r="J846" s="26"/>
      <c r="K846" s="27"/>
      <c r="L846" s="28"/>
      <c r="M846" s="29" t="str">
        <f t="shared" si="65"/>
        <v/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2950</v>
      </c>
      <c r="C847" s="25" t="s">
        <v>2951</v>
      </c>
      <c r="D847" s="23" t="s">
        <v>2235</v>
      </c>
      <c r="E847" s="46"/>
      <c r="F847" s="26"/>
      <c r="G847" s="26"/>
      <c r="H847" s="26"/>
      <c r="I847" s="26"/>
      <c r="J847" s="26"/>
      <c r="K847" s="27"/>
      <c r="L847" s="28"/>
      <c r="M847" s="29" t="str">
        <f t="shared" si="65"/>
        <v/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2952</v>
      </c>
      <c r="C848" s="44" t="s">
        <v>2953</v>
      </c>
      <c r="D848" s="42" t="s">
        <v>2235</v>
      </c>
      <c r="E848" s="46"/>
      <c r="F848" s="26"/>
      <c r="G848" s="26"/>
      <c r="H848" s="26"/>
      <c r="I848" s="26"/>
      <c r="J848" s="26"/>
      <c r="K848" s="27"/>
      <c r="L848" s="28"/>
      <c r="M848" s="29" t="str">
        <f t="shared" si="65"/>
        <v/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2954</v>
      </c>
      <c r="C849" s="25" t="s">
        <v>2955</v>
      </c>
      <c r="D849" s="23" t="s">
        <v>2235</v>
      </c>
      <c r="E849" s="46"/>
      <c r="F849" s="26"/>
      <c r="G849" s="26"/>
      <c r="H849" s="26"/>
      <c r="I849" s="26"/>
      <c r="J849" s="26"/>
      <c r="K849" s="27"/>
      <c r="L849" s="28"/>
      <c r="M849" s="29" t="str">
        <f t="shared" si="65"/>
        <v/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2956</v>
      </c>
      <c r="C850" s="44" t="s">
        <v>2957</v>
      </c>
      <c r="D850" s="42" t="s">
        <v>2235</v>
      </c>
      <c r="E850" s="46"/>
      <c r="F850" s="26"/>
      <c r="G850" s="26"/>
      <c r="H850" s="26"/>
      <c r="I850" s="26"/>
      <c r="J850" s="26"/>
      <c r="K850" s="27"/>
      <c r="L850" s="28"/>
      <c r="M850" s="29" t="str">
        <f t="shared" si="65"/>
        <v/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2958</v>
      </c>
      <c r="C851" s="25" t="s">
        <v>2959</v>
      </c>
      <c r="D851" s="23" t="s">
        <v>2235</v>
      </c>
      <c r="E851" s="46"/>
      <c r="F851" s="26"/>
      <c r="G851" s="26"/>
      <c r="H851" s="26"/>
      <c r="I851" s="26"/>
      <c r="J851" s="26"/>
      <c r="K851" s="27"/>
      <c r="L851" s="28"/>
      <c r="M851" s="29" t="str">
        <f t="shared" si="65"/>
        <v/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2960</v>
      </c>
      <c r="C852" s="44" t="s">
        <v>2961</v>
      </c>
      <c r="D852" s="42" t="s">
        <v>2235</v>
      </c>
      <c r="E852" s="46"/>
      <c r="F852" s="26"/>
      <c r="G852" s="26"/>
      <c r="H852" s="26"/>
      <c r="I852" s="26"/>
      <c r="J852" s="26"/>
      <c r="K852" s="27"/>
      <c r="L852" s="28"/>
      <c r="M852" s="29" t="str">
        <f t="shared" si="65"/>
        <v/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2962</v>
      </c>
      <c r="C853" s="25" t="s">
        <v>2963</v>
      </c>
      <c r="D853" s="23" t="s">
        <v>2235</v>
      </c>
      <c r="E853" s="46"/>
      <c r="F853" s="26"/>
      <c r="G853" s="26"/>
      <c r="H853" s="26"/>
      <c r="I853" s="26"/>
      <c r="J853" s="26"/>
      <c r="K853" s="27"/>
      <c r="L853" s="28"/>
      <c r="M853" s="29" t="str">
        <f t="shared" si="65"/>
        <v/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2964</v>
      </c>
      <c r="C854" s="44" t="s">
        <v>2965</v>
      </c>
      <c r="D854" s="42" t="s">
        <v>2235</v>
      </c>
      <c r="E854" s="46"/>
      <c r="F854" s="26"/>
      <c r="G854" s="26"/>
      <c r="H854" s="26"/>
      <c r="I854" s="26"/>
      <c r="J854" s="26"/>
      <c r="K854" s="27"/>
      <c r="L854" s="28"/>
      <c r="M854" s="29" t="str">
        <f t="shared" si="65"/>
        <v/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2966</v>
      </c>
      <c r="C855" s="25" t="s">
        <v>2967</v>
      </c>
      <c r="D855" s="23" t="s">
        <v>2235</v>
      </c>
      <c r="E855" s="46"/>
      <c r="F855" s="26"/>
      <c r="G855" s="26"/>
      <c r="H855" s="26"/>
      <c r="I855" s="26"/>
      <c r="J855" s="26"/>
      <c r="K855" s="27"/>
      <c r="L855" s="28"/>
      <c r="M855" s="29" t="str">
        <f t="shared" si="65"/>
        <v/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2968</v>
      </c>
      <c r="C856" s="44" t="s">
        <v>2969</v>
      </c>
      <c r="D856" s="42" t="s">
        <v>2235</v>
      </c>
      <c r="E856" s="46"/>
      <c r="F856" s="26"/>
      <c r="G856" s="26"/>
      <c r="H856" s="26"/>
      <c r="I856" s="26"/>
      <c r="J856" s="26"/>
      <c r="K856" s="27"/>
      <c r="L856" s="28"/>
      <c r="M856" s="29" t="str">
        <f t="shared" si="65"/>
        <v/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2970</v>
      </c>
      <c r="C857" s="25" t="s">
        <v>2971</v>
      </c>
      <c r="D857" s="23" t="s">
        <v>2235</v>
      </c>
      <c r="E857" s="46"/>
      <c r="F857" s="26"/>
      <c r="G857" s="26"/>
      <c r="H857" s="26"/>
      <c r="I857" s="26"/>
      <c r="J857" s="26"/>
      <c r="K857" s="27"/>
      <c r="L857" s="28"/>
      <c r="M857" s="29" t="str">
        <f t="shared" si="65"/>
        <v/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2972</v>
      </c>
      <c r="C858" s="44" t="s">
        <v>2973</v>
      </c>
      <c r="D858" s="42" t="s">
        <v>2235</v>
      </c>
      <c r="E858" s="46"/>
      <c r="F858" s="26"/>
      <c r="G858" s="26"/>
      <c r="H858" s="26"/>
      <c r="I858" s="26"/>
      <c r="J858" s="26"/>
      <c r="K858" s="27"/>
      <c r="L858" s="28"/>
      <c r="M858" s="29" t="str">
        <f t="shared" si="65"/>
        <v/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2974</v>
      </c>
      <c r="C859" s="25" t="s">
        <v>2975</v>
      </c>
      <c r="D859" s="23" t="s">
        <v>2235</v>
      </c>
      <c r="E859" s="46"/>
      <c r="F859" s="26"/>
      <c r="G859" s="26"/>
      <c r="H859" s="26"/>
      <c r="I859" s="26"/>
      <c r="J859" s="26"/>
      <c r="K859" s="27"/>
      <c r="L859" s="28"/>
      <c r="M859" s="29" t="str">
        <f t="shared" si="65"/>
        <v/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2976</v>
      </c>
      <c r="C860" s="44" t="s">
        <v>2977</v>
      </c>
      <c r="D860" s="42" t="s">
        <v>2235</v>
      </c>
      <c r="E860" s="46"/>
      <c r="F860" s="26"/>
      <c r="G860" s="26"/>
      <c r="H860" s="26"/>
      <c r="I860" s="26"/>
      <c r="J860" s="26"/>
      <c r="K860" s="27"/>
      <c r="L860" s="28"/>
      <c r="M860" s="29" t="str">
        <f t="shared" si="65"/>
        <v/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2978</v>
      </c>
      <c r="C861" s="25" t="s">
        <v>2979</v>
      </c>
      <c r="D861" s="23" t="s">
        <v>2235</v>
      </c>
      <c r="E861" s="46"/>
      <c r="F861" s="26"/>
      <c r="G861" s="26"/>
      <c r="H861" s="26"/>
      <c r="I861" s="26"/>
      <c r="J861" s="26"/>
      <c r="K861" s="27"/>
      <c r="L861" s="28"/>
      <c r="M861" s="29" t="str">
        <f t="shared" si="65"/>
        <v/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2980</v>
      </c>
      <c r="C862" s="44" t="s">
        <v>2981</v>
      </c>
      <c r="D862" s="42" t="s">
        <v>2235</v>
      </c>
      <c r="E862" s="46"/>
      <c r="F862" s="26"/>
      <c r="G862" s="26"/>
      <c r="H862" s="26"/>
      <c r="I862" s="26"/>
      <c r="J862" s="26"/>
      <c r="K862" s="27"/>
      <c r="L862" s="28"/>
      <c r="M862" s="29" t="str">
        <f t="shared" si="65"/>
        <v/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2982</v>
      </c>
      <c r="C863" s="25" t="s">
        <v>2983</v>
      </c>
      <c r="D863" s="23" t="s">
        <v>2235</v>
      </c>
      <c r="E863" s="46"/>
      <c r="F863" s="26"/>
      <c r="G863" s="26"/>
      <c r="H863" s="26"/>
      <c r="I863" s="26"/>
      <c r="J863" s="26"/>
      <c r="K863" s="27"/>
      <c r="L863" s="28"/>
      <c r="M863" s="29" t="str">
        <f t="shared" si="65"/>
        <v/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2984</v>
      </c>
      <c r="C864" s="44" t="s">
        <v>2985</v>
      </c>
      <c r="D864" s="42" t="s">
        <v>2235</v>
      </c>
      <c r="E864" s="46"/>
      <c r="F864" s="26"/>
      <c r="G864" s="26"/>
      <c r="H864" s="26"/>
      <c r="I864" s="26"/>
      <c r="J864" s="26"/>
      <c r="K864" s="27"/>
      <c r="L864" s="28"/>
      <c r="M864" s="29" t="str">
        <f t="shared" si="65"/>
        <v/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2986</v>
      </c>
      <c r="C865" s="25" t="s">
        <v>2987</v>
      </c>
      <c r="D865" s="23" t="s">
        <v>2235</v>
      </c>
      <c r="E865" s="46"/>
      <c r="F865" s="26"/>
      <c r="G865" s="26"/>
      <c r="H865" s="26"/>
      <c r="I865" s="26"/>
      <c r="J865" s="26"/>
      <c r="K865" s="27"/>
      <c r="L865" s="28"/>
      <c r="M865" s="29" t="str">
        <f t="shared" si="65"/>
        <v/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2988</v>
      </c>
      <c r="C866" s="44" t="s">
        <v>2989</v>
      </c>
      <c r="D866" s="42" t="s">
        <v>2235</v>
      </c>
      <c r="E866" s="46"/>
      <c r="F866" s="26"/>
      <c r="G866" s="26"/>
      <c r="H866" s="26"/>
      <c r="I866" s="26"/>
      <c r="J866" s="26"/>
      <c r="K866" s="27"/>
      <c r="L866" s="28"/>
      <c r="M866" s="29" t="str">
        <f t="shared" si="65"/>
        <v/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2990</v>
      </c>
      <c r="C867" s="25" t="s">
        <v>2991</v>
      </c>
      <c r="D867" s="23" t="s">
        <v>2235</v>
      </c>
      <c r="E867" s="46"/>
      <c r="F867" s="26"/>
      <c r="G867" s="26"/>
      <c r="H867" s="26"/>
      <c r="I867" s="26"/>
      <c r="J867" s="26"/>
      <c r="K867" s="27"/>
      <c r="L867" s="28"/>
      <c r="M867" s="29" t="str">
        <f t="shared" si="65"/>
        <v/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2992</v>
      </c>
      <c r="C868" s="44" t="s">
        <v>2993</v>
      </c>
      <c r="D868" s="42" t="s">
        <v>2235</v>
      </c>
      <c r="E868" s="46"/>
      <c r="F868" s="26"/>
      <c r="G868" s="26"/>
      <c r="H868" s="26"/>
      <c r="I868" s="26"/>
      <c r="J868" s="26"/>
      <c r="K868" s="27"/>
      <c r="L868" s="28"/>
      <c r="M868" s="29" t="str">
        <f t="shared" si="65"/>
        <v/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2994</v>
      </c>
      <c r="C869" s="25" t="s">
        <v>2995</v>
      </c>
      <c r="D869" s="23" t="s">
        <v>2235</v>
      </c>
      <c r="E869" s="46"/>
      <c r="F869" s="26"/>
      <c r="G869" s="26"/>
      <c r="H869" s="26"/>
      <c r="I869" s="26"/>
      <c r="J869" s="26"/>
      <c r="K869" s="27"/>
      <c r="L869" s="28"/>
      <c r="M869" s="29" t="str">
        <f t="shared" si="65"/>
        <v/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2996</v>
      </c>
      <c r="C870" s="44" t="s">
        <v>2997</v>
      </c>
      <c r="D870" s="42" t="s">
        <v>2235</v>
      </c>
      <c r="E870" s="46"/>
      <c r="F870" s="26"/>
      <c r="G870" s="26"/>
      <c r="H870" s="26"/>
      <c r="I870" s="26"/>
      <c r="J870" s="26"/>
      <c r="K870" s="27"/>
      <c r="L870" s="28"/>
      <c r="M870" s="29" t="str">
        <f t="shared" si="65"/>
        <v/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2998</v>
      </c>
      <c r="C871" s="25" t="s">
        <v>2999</v>
      </c>
      <c r="D871" s="23" t="s">
        <v>2235</v>
      </c>
      <c r="E871" s="46"/>
      <c r="F871" s="26"/>
      <c r="G871" s="26"/>
      <c r="H871" s="26"/>
      <c r="I871" s="26"/>
      <c r="J871" s="26"/>
      <c r="K871" s="27"/>
      <c r="L871" s="28"/>
      <c r="M871" s="29" t="str">
        <f t="shared" si="65"/>
        <v/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3000</v>
      </c>
      <c r="C872" s="44" t="s">
        <v>3001</v>
      </c>
      <c r="D872" s="42" t="s">
        <v>2235</v>
      </c>
      <c r="E872" s="46"/>
      <c r="F872" s="26"/>
      <c r="G872" s="26"/>
      <c r="H872" s="26"/>
      <c r="I872" s="26"/>
      <c r="J872" s="26"/>
      <c r="K872" s="27"/>
      <c r="L872" s="28"/>
      <c r="M872" s="29" t="str">
        <f t="shared" si="65"/>
        <v/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3002</v>
      </c>
      <c r="C873" s="25" t="s">
        <v>3003</v>
      </c>
      <c r="D873" s="23" t="s">
        <v>2235</v>
      </c>
      <c r="E873" s="46"/>
      <c r="F873" s="26"/>
      <c r="G873" s="26"/>
      <c r="H873" s="26"/>
      <c r="I873" s="26"/>
      <c r="J873" s="26"/>
      <c r="K873" s="27"/>
      <c r="L873" s="28"/>
      <c r="M873" s="29" t="str">
        <f t="shared" si="65"/>
        <v/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3004</v>
      </c>
      <c r="C874" s="44" t="s">
        <v>3005</v>
      </c>
      <c r="D874" s="42" t="s">
        <v>2235</v>
      </c>
      <c r="E874" s="46"/>
      <c r="F874" s="26"/>
      <c r="G874" s="26"/>
      <c r="H874" s="26"/>
      <c r="I874" s="26"/>
      <c r="J874" s="26"/>
      <c r="K874" s="27"/>
      <c r="L874" s="28"/>
      <c r="M874" s="29" t="str">
        <f t="shared" si="65"/>
        <v/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3006</v>
      </c>
      <c r="C875" s="25" t="s">
        <v>3007</v>
      </c>
      <c r="D875" s="23" t="s">
        <v>2235</v>
      </c>
      <c r="E875" s="46"/>
      <c r="F875" s="26"/>
      <c r="G875" s="26"/>
      <c r="H875" s="26"/>
      <c r="I875" s="26"/>
      <c r="J875" s="26"/>
      <c r="K875" s="27"/>
      <c r="L875" s="28"/>
      <c r="M875" s="29" t="str">
        <f t="shared" si="65"/>
        <v/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3008</v>
      </c>
      <c r="C876" s="44" t="s">
        <v>3009</v>
      </c>
      <c r="D876" s="42" t="s">
        <v>2235</v>
      </c>
      <c r="E876" s="46"/>
      <c r="F876" s="26"/>
      <c r="G876" s="26"/>
      <c r="H876" s="26"/>
      <c r="I876" s="26"/>
      <c r="J876" s="26"/>
      <c r="K876" s="27"/>
      <c r="L876" s="28"/>
      <c r="M876" s="29" t="str">
        <f t="shared" si="65"/>
        <v/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3010</v>
      </c>
      <c r="C877" s="25" t="s">
        <v>3011</v>
      </c>
      <c r="D877" s="23" t="s">
        <v>2235</v>
      </c>
      <c r="E877" s="46"/>
      <c r="F877" s="26"/>
      <c r="G877" s="26"/>
      <c r="H877" s="26"/>
      <c r="I877" s="26"/>
      <c r="J877" s="26"/>
      <c r="K877" s="27"/>
      <c r="L877" s="28"/>
      <c r="M877" s="29" t="str">
        <f t="shared" si="65"/>
        <v/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3012</v>
      </c>
      <c r="C878" s="44" t="s">
        <v>3013</v>
      </c>
      <c r="D878" s="42" t="s">
        <v>2235</v>
      </c>
      <c r="E878" s="46"/>
      <c r="F878" s="26"/>
      <c r="G878" s="26"/>
      <c r="H878" s="26"/>
      <c r="I878" s="26"/>
      <c r="J878" s="26"/>
      <c r="K878" s="27"/>
      <c r="L878" s="28"/>
      <c r="M878" s="29" t="str">
        <f t="shared" si="65"/>
        <v/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3014</v>
      </c>
      <c r="C879" s="25" t="s">
        <v>3015</v>
      </c>
      <c r="D879" s="23" t="s">
        <v>2235</v>
      </c>
      <c r="E879" s="46"/>
      <c r="F879" s="26"/>
      <c r="G879" s="26"/>
      <c r="H879" s="26"/>
      <c r="I879" s="26"/>
      <c r="J879" s="26"/>
      <c r="K879" s="27"/>
      <c r="L879" s="28"/>
      <c r="M879" s="29" t="str">
        <f t="shared" si="65"/>
        <v/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3016</v>
      </c>
      <c r="C880" s="44" t="s">
        <v>3017</v>
      </c>
      <c r="D880" s="42" t="s">
        <v>2235</v>
      </c>
      <c r="E880" s="46"/>
      <c r="F880" s="26"/>
      <c r="G880" s="26"/>
      <c r="H880" s="26"/>
      <c r="I880" s="26"/>
      <c r="J880" s="26"/>
      <c r="K880" s="27"/>
      <c r="L880" s="28"/>
      <c r="M880" s="29" t="str">
        <f t="shared" si="65"/>
        <v/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3018</v>
      </c>
      <c r="C881" s="25" t="s">
        <v>3019</v>
      </c>
      <c r="D881" s="23" t="s">
        <v>2235</v>
      </c>
      <c r="E881" s="46"/>
      <c r="F881" s="26"/>
      <c r="G881" s="26"/>
      <c r="H881" s="26"/>
      <c r="I881" s="26"/>
      <c r="J881" s="26"/>
      <c r="K881" s="27"/>
      <c r="L881" s="28"/>
      <c r="M881" s="29" t="str">
        <f t="shared" si="65"/>
        <v/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3020</v>
      </c>
      <c r="C882" s="44" t="s">
        <v>3021</v>
      </c>
      <c r="D882" s="42" t="s">
        <v>2235</v>
      </c>
      <c r="E882" s="46"/>
      <c r="F882" s="26"/>
      <c r="G882" s="26"/>
      <c r="H882" s="26"/>
      <c r="I882" s="26"/>
      <c r="J882" s="26"/>
      <c r="K882" s="27"/>
      <c r="L882" s="28"/>
      <c r="M882" s="29" t="str">
        <f t="shared" si="65"/>
        <v/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3022</v>
      </c>
      <c r="C883" s="25" t="s">
        <v>3023</v>
      </c>
      <c r="D883" s="23" t="s">
        <v>2235</v>
      </c>
      <c r="E883" s="46"/>
      <c r="F883" s="26"/>
      <c r="G883" s="26"/>
      <c r="H883" s="26"/>
      <c r="I883" s="26"/>
      <c r="J883" s="26"/>
      <c r="K883" s="27"/>
      <c r="L883" s="28"/>
      <c r="M883" s="29" t="str">
        <f t="shared" si="65"/>
        <v/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3024</v>
      </c>
      <c r="C884" s="44" t="s">
        <v>3025</v>
      </c>
      <c r="D884" s="42" t="s">
        <v>2235</v>
      </c>
      <c r="E884" s="46"/>
      <c r="F884" s="26"/>
      <c r="G884" s="26"/>
      <c r="H884" s="26"/>
      <c r="I884" s="26"/>
      <c r="J884" s="26"/>
      <c r="K884" s="27"/>
      <c r="L884" s="28"/>
      <c r="M884" s="29" t="str">
        <f t="shared" si="65"/>
        <v/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3026</v>
      </c>
      <c r="C885" s="25" t="s">
        <v>3027</v>
      </c>
      <c r="D885" s="23" t="s">
        <v>2235</v>
      </c>
      <c r="E885" s="46"/>
      <c r="F885" s="26"/>
      <c r="G885" s="26"/>
      <c r="H885" s="26"/>
      <c r="I885" s="26"/>
      <c r="J885" s="26"/>
      <c r="K885" s="27"/>
      <c r="L885" s="28"/>
      <c r="M885" s="29" t="str">
        <f t="shared" si="65"/>
        <v/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3028</v>
      </c>
      <c r="C886" s="44" t="s">
        <v>3029</v>
      </c>
      <c r="D886" s="42" t="s">
        <v>2235</v>
      </c>
      <c r="E886" s="46"/>
      <c r="F886" s="26"/>
      <c r="G886" s="26"/>
      <c r="H886" s="26"/>
      <c r="I886" s="26"/>
      <c r="J886" s="26"/>
      <c r="K886" s="27"/>
      <c r="L886" s="28"/>
      <c r="M886" s="29" t="str">
        <f t="shared" si="65"/>
        <v/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3030</v>
      </c>
      <c r="C887" s="25" t="s">
        <v>3031</v>
      </c>
      <c r="D887" s="23" t="s">
        <v>2235</v>
      </c>
      <c r="E887" s="46"/>
      <c r="F887" s="26"/>
      <c r="G887" s="26"/>
      <c r="H887" s="26"/>
      <c r="I887" s="26"/>
      <c r="J887" s="26"/>
      <c r="K887" s="27"/>
      <c r="L887" s="28"/>
      <c r="M887" s="29" t="str">
        <f t="shared" si="65"/>
        <v/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3032</v>
      </c>
      <c r="C888" s="44" t="s">
        <v>3033</v>
      </c>
      <c r="D888" s="42" t="s">
        <v>2235</v>
      </c>
      <c r="E888" s="46"/>
      <c r="F888" s="26"/>
      <c r="G888" s="26"/>
      <c r="H888" s="26"/>
      <c r="I888" s="26"/>
      <c r="J888" s="26"/>
      <c r="K888" s="27"/>
      <c r="L888" s="28"/>
      <c r="M888" s="29" t="str">
        <f t="shared" si="65"/>
        <v/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3034</v>
      </c>
      <c r="C889" s="25" t="s">
        <v>3035</v>
      </c>
      <c r="D889" s="23" t="s">
        <v>2235</v>
      </c>
      <c r="E889" s="46"/>
      <c r="F889" s="26"/>
      <c r="G889" s="26"/>
      <c r="H889" s="26"/>
      <c r="I889" s="26"/>
      <c r="J889" s="26"/>
      <c r="K889" s="27"/>
      <c r="L889" s="28"/>
      <c r="M889" s="29" t="str">
        <f t="shared" si="65"/>
        <v/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3036</v>
      </c>
      <c r="C890" s="44" t="s">
        <v>3037</v>
      </c>
      <c r="D890" s="42" t="s">
        <v>2235</v>
      </c>
      <c r="E890" s="46"/>
      <c r="F890" s="26"/>
      <c r="G890" s="26"/>
      <c r="H890" s="26"/>
      <c r="I890" s="26"/>
      <c r="J890" s="26"/>
      <c r="K890" s="27"/>
      <c r="L890" s="28"/>
      <c r="M890" s="29" t="str">
        <f t="shared" si="65"/>
        <v/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3038</v>
      </c>
      <c r="C891" s="25" t="s">
        <v>3039</v>
      </c>
      <c r="D891" s="23" t="s">
        <v>2235</v>
      </c>
      <c r="E891" s="46"/>
      <c r="F891" s="26"/>
      <c r="G891" s="26"/>
      <c r="H891" s="26"/>
      <c r="I891" s="26"/>
      <c r="J891" s="26"/>
      <c r="K891" s="27"/>
      <c r="L891" s="28"/>
      <c r="M891" s="29" t="str">
        <f t="shared" si="65"/>
        <v/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3040</v>
      </c>
      <c r="C892" s="44" t="s">
        <v>3041</v>
      </c>
      <c r="D892" s="42" t="s">
        <v>2235</v>
      </c>
      <c r="E892" s="46"/>
      <c r="F892" s="26"/>
      <c r="G892" s="26"/>
      <c r="H892" s="26"/>
      <c r="I892" s="26"/>
      <c r="J892" s="26"/>
      <c r="K892" s="27"/>
      <c r="L892" s="28"/>
      <c r="M892" s="29" t="str">
        <f t="shared" si="65"/>
        <v/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3042</v>
      </c>
      <c r="C893" s="25" t="s">
        <v>3043</v>
      </c>
      <c r="D893" s="23" t="s">
        <v>2235</v>
      </c>
      <c r="E893" s="46"/>
      <c r="F893" s="26"/>
      <c r="G893" s="26"/>
      <c r="H893" s="26"/>
      <c r="I893" s="26"/>
      <c r="J893" s="26"/>
      <c r="K893" s="27"/>
      <c r="L893" s="28"/>
      <c r="M893" s="29" t="str">
        <f t="shared" si="65"/>
        <v/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3044</v>
      </c>
      <c r="C894" s="44" t="s">
        <v>3045</v>
      </c>
      <c r="D894" s="42" t="s">
        <v>2235</v>
      </c>
      <c r="E894" s="46"/>
      <c r="F894" s="26"/>
      <c r="G894" s="26"/>
      <c r="H894" s="26"/>
      <c r="I894" s="26"/>
      <c r="J894" s="26"/>
      <c r="K894" s="27"/>
      <c r="L894" s="28"/>
      <c r="M894" s="29" t="str">
        <f t="shared" si="65"/>
        <v/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3046</v>
      </c>
      <c r="C895" s="25" t="s">
        <v>3047</v>
      </c>
      <c r="D895" s="23" t="s">
        <v>2235</v>
      </c>
      <c r="E895" s="46"/>
      <c r="F895" s="26"/>
      <c r="G895" s="26"/>
      <c r="H895" s="26"/>
      <c r="I895" s="26"/>
      <c r="J895" s="26"/>
      <c r="K895" s="27"/>
      <c r="L895" s="28"/>
      <c r="M895" s="29" t="str">
        <f t="shared" si="65"/>
        <v/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3048</v>
      </c>
      <c r="C896" s="44" t="s">
        <v>3049</v>
      </c>
      <c r="D896" s="42" t="s">
        <v>2235</v>
      </c>
      <c r="E896" s="46"/>
      <c r="F896" s="26"/>
      <c r="G896" s="26"/>
      <c r="H896" s="26"/>
      <c r="I896" s="26"/>
      <c r="J896" s="26"/>
      <c r="K896" s="27"/>
      <c r="L896" s="28"/>
      <c r="M896" s="29" t="str">
        <f t="shared" si="65"/>
        <v/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3050</v>
      </c>
      <c r="C897" s="25" t="s">
        <v>3051</v>
      </c>
      <c r="D897" s="23" t="s">
        <v>2235</v>
      </c>
      <c r="E897" s="46"/>
      <c r="F897" s="26"/>
      <c r="G897" s="26"/>
      <c r="H897" s="26"/>
      <c r="I897" s="26"/>
      <c r="J897" s="26"/>
      <c r="K897" s="27"/>
      <c r="L897" s="28"/>
      <c r="M897" s="29" t="str">
        <f t="shared" si="65"/>
        <v/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3052</v>
      </c>
      <c r="C898" s="44" t="s">
        <v>3053</v>
      </c>
      <c r="D898" s="42" t="s">
        <v>2235</v>
      </c>
      <c r="E898" s="46"/>
      <c r="F898" s="26"/>
      <c r="G898" s="26"/>
      <c r="H898" s="26"/>
      <c r="I898" s="26"/>
      <c r="J898" s="26"/>
      <c r="K898" s="27"/>
      <c r="L898" s="28"/>
      <c r="M898" s="29" t="str">
        <f t="shared" si="65"/>
        <v/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3054</v>
      </c>
      <c r="C899" s="25" t="s">
        <v>3055</v>
      </c>
      <c r="D899" s="23" t="s">
        <v>2235</v>
      </c>
      <c r="E899" s="46"/>
      <c r="F899" s="26"/>
      <c r="G899" s="26"/>
      <c r="H899" s="26"/>
      <c r="I899" s="26"/>
      <c r="J899" s="26"/>
      <c r="K899" s="27"/>
      <c r="L899" s="28"/>
      <c r="M899" s="29" t="str">
        <f t="shared" si="65"/>
        <v/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3056</v>
      </c>
      <c r="C900" s="44" t="s">
        <v>3057</v>
      </c>
      <c r="D900" s="42" t="s">
        <v>2235</v>
      </c>
      <c r="E900" s="46"/>
      <c r="F900" s="26"/>
      <c r="G900" s="26"/>
      <c r="H900" s="26"/>
      <c r="I900" s="26"/>
      <c r="J900" s="26"/>
      <c r="K900" s="27"/>
      <c r="L900" s="28"/>
      <c r="M900" s="29" t="str">
        <f t="shared" si="65"/>
        <v/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3058</v>
      </c>
      <c r="C901" s="25" t="s">
        <v>3059</v>
      </c>
      <c r="D901" s="23" t="s">
        <v>2235</v>
      </c>
      <c r="E901" s="46"/>
      <c r="F901" s="26"/>
      <c r="G901" s="26"/>
      <c r="H901" s="26"/>
      <c r="I901" s="26"/>
      <c r="J901" s="26"/>
      <c r="K901" s="27"/>
      <c r="L901" s="28"/>
      <c r="M901" s="29" t="str">
        <f t="shared" ref="M901:M964" si="70">IF(E901="","",IF(H901="Yes","❌ Disc",IF(G901="No","⚠ Missing",IF(J901="Yes","✓ OK","⚠ Check"))))</f>
        <v/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3060</v>
      </c>
      <c r="C902" s="44" t="s">
        <v>3061</v>
      </c>
      <c r="D902" s="42" t="s">
        <v>2235</v>
      </c>
      <c r="E902" s="46"/>
      <c r="F902" s="26"/>
      <c r="G902" s="26"/>
      <c r="H902" s="26"/>
      <c r="I902" s="26"/>
      <c r="J902" s="26"/>
      <c r="K902" s="27"/>
      <c r="L902" s="28"/>
      <c r="M902" s="29" t="str">
        <f t="shared" si="70"/>
        <v/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3062</v>
      </c>
      <c r="C903" s="25" t="s">
        <v>3063</v>
      </c>
      <c r="D903" s="23" t="s">
        <v>2235</v>
      </c>
      <c r="E903" s="46"/>
      <c r="F903" s="26"/>
      <c r="G903" s="26"/>
      <c r="H903" s="26"/>
      <c r="I903" s="26"/>
      <c r="J903" s="26"/>
      <c r="K903" s="27"/>
      <c r="L903" s="28"/>
      <c r="M903" s="29" t="str">
        <f t="shared" si="70"/>
        <v/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3064</v>
      </c>
      <c r="C904" s="44" t="s">
        <v>3065</v>
      </c>
      <c r="D904" s="42" t="s">
        <v>2235</v>
      </c>
      <c r="E904" s="46"/>
      <c r="F904" s="26"/>
      <c r="G904" s="26"/>
      <c r="H904" s="26"/>
      <c r="I904" s="26"/>
      <c r="J904" s="26"/>
      <c r="K904" s="27"/>
      <c r="L904" s="28"/>
      <c r="M904" s="29" t="str">
        <f t="shared" si="70"/>
        <v/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3066</v>
      </c>
      <c r="C905" s="25" t="s">
        <v>3067</v>
      </c>
      <c r="D905" s="23" t="s">
        <v>2235</v>
      </c>
      <c r="E905" s="46"/>
      <c r="F905" s="26"/>
      <c r="G905" s="26"/>
      <c r="H905" s="26"/>
      <c r="I905" s="26"/>
      <c r="J905" s="26"/>
      <c r="K905" s="27"/>
      <c r="L905" s="28"/>
      <c r="M905" s="29" t="str">
        <f t="shared" si="70"/>
        <v/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3068</v>
      </c>
      <c r="C906" s="44" t="s">
        <v>3069</v>
      </c>
      <c r="D906" s="42" t="s">
        <v>2235</v>
      </c>
      <c r="E906" s="46"/>
      <c r="F906" s="26"/>
      <c r="G906" s="26"/>
      <c r="H906" s="26"/>
      <c r="I906" s="26"/>
      <c r="J906" s="26"/>
      <c r="K906" s="27"/>
      <c r="L906" s="28"/>
      <c r="M906" s="29" t="str">
        <f t="shared" si="70"/>
        <v/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3070</v>
      </c>
      <c r="C907" s="25" t="s">
        <v>3071</v>
      </c>
      <c r="D907" s="23" t="s">
        <v>2235</v>
      </c>
      <c r="E907" s="46"/>
      <c r="F907" s="26"/>
      <c r="G907" s="26"/>
      <c r="H907" s="26"/>
      <c r="I907" s="26"/>
      <c r="J907" s="26"/>
      <c r="K907" s="27"/>
      <c r="L907" s="28"/>
      <c r="M907" s="29" t="str">
        <f t="shared" si="70"/>
        <v/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3072</v>
      </c>
      <c r="C908" s="44" t="s">
        <v>3073</v>
      </c>
      <c r="D908" s="42" t="s">
        <v>2235</v>
      </c>
      <c r="E908" s="46"/>
      <c r="F908" s="26"/>
      <c r="G908" s="26"/>
      <c r="H908" s="26"/>
      <c r="I908" s="26"/>
      <c r="J908" s="26"/>
      <c r="K908" s="27"/>
      <c r="L908" s="28"/>
      <c r="M908" s="29" t="str">
        <f t="shared" si="70"/>
        <v/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3074</v>
      </c>
      <c r="C909" s="25" t="s">
        <v>3075</v>
      </c>
      <c r="D909" s="23" t="s">
        <v>2235</v>
      </c>
      <c r="E909" s="46"/>
      <c r="F909" s="26"/>
      <c r="G909" s="26"/>
      <c r="H909" s="26"/>
      <c r="I909" s="26"/>
      <c r="J909" s="26"/>
      <c r="K909" s="27"/>
      <c r="L909" s="28"/>
      <c r="M909" s="29" t="str">
        <f t="shared" si="70"/>
        <v/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3076</v>
      </c>
      <c r="C910" s="44" t="s">
        <v>3077</v>
      </c>
      <c r="D910" s="42" t="s">
        <v>2235</v>
      </c>
      <c r="E910" s="46"/>
      <c r="F910" s="26"/>
      <c r="G910" s="26"/>
      <c r="H910" s="26"/>
      <c r="I910" s="26"/>
      <c r="J910" s="26"/>
      <c r="K910" s="27"/>
      <c r="L910" s="28"/>
      <c r="M910" s="29" t="str">
        <f t="shared" si="70"/>
        <v/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3078</v>
      </c>
      <c r="C911" s="25" t="s">
        <v>3079</v>
      </c>
      <c r="D911" s="23" t="s">
        <v>2235</v>
      </c>
      <c r="E911" s="46"/>
      <c r="F911" s="26"/>
      <c r="G911" s="26"/>
      <c r="H911" s="26"/>
      <c r="I911" s="26"/>
      <c r="J911" s="26"/>
      <c r="K911" s="27"/>
      <c r="L911" s="28"/>
      <c r="M911" s="29" t="str">
        <f t="shared" si="70"/>
        <v/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3080</v>
      </c>
      <c r="C912" s="44" t="s">
        <v>3081</v>
      </c>
      <c r="D912" s="42" t="s">
        <v>2235</v>
      </c>
      <c r="E912" s="46"/>
      <c r="F912" s="26"/>
      <c r="G912" s="26"/>
      <c r="H912" s="26"/>
      <c r="I912" s="26"/>
      <c r="J912" s="26"/>
      <c r="K912" s="27"/>
      <c r="L912" s="28"/>
      <c r="M912" s="29" t="str">
        <f t="shared" si="70"/>
        <v/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3082</v>
      </c>
      <c r="C913" s="25" t="s">
        <v>3083</v>
      </c>
      <c r="D913" s="23" t="s">
        <v>2235</v>
      </c>
      <c r="E913" s="46"/>
      <c r="F913" s="26"/>
      <c r="G913" s="26"/>
      <c r="H913" s="26"/>
      <c r="I913" s="26"/>
      <c r="J913" s="26"/>
      <c r="K913" s="27"/>
      <c r="L913" s="28"/>
      <c r="M913" s="29" t="str">
        <f t="shared" si="70"/>
        <v/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3084</v>
      </c>
      <c r="C914" s="44" t="s">
        <v>3085</v>
      </c>
      <c r="D914" s="42" t="s">
        <v>2235</v>
      </c>
      <c r="E914" s="46"/>
      <c r="F914" s="26"/>
      <c r="G914" s="26"/>
      <c r="H914" s="26"/>
      <c r="I914" s="26"/>
      <c r="J914" s="26"/>
      <c r="K914" s="27"/>
      <c r="L914" s="28"/>
      <c r="M914" s="29" t="str">
        <f t="shared" si="70"/>
        <v/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3086</v>
      </c>
      <c r="C915" s="25" t="s">
        <v>3087</v>
      </c>
      <c r="D915" s="23" t="s">
        <v>2235</v>
      </c>
      <c r="E915" s="46"/>
      <c r="F915" s="26"/>
      <c r="G915" s="26"/>
      <c r="H915" s="26"/>
      <c r="I915" s="26"/>
      <c r="J915" s="26"/>
      <c r="K915" s="27"/>
      <c r="L915" s="28"/>
      <c r="M915" s="29" t="str">
        <f t="shared" si="70"/>
        <v/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3088</v>
      </c>
      <c r="C916" s="44" t="s">
        <v>3089</v>
      </c>
      <c r="D916" s="42" t="s">
        <v>2235</v>
      </c>
      <c r="E916" s="46"/>
      <c r="F916" s="26"/>
      <c r="G916" s="26"/>
      <c r="H916" s="26"/>
      <c r="I916" s="26"/>
      <c r="J916" s="26"/>
      <c r="K916" s="27"/>
      <c r="L916" s="28"/>
      <c r="M916" s="29" t="str">
        <f t="shared" si="70"/>
        <v/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3090</v>
      </c>
      <c r="C917" s="25" t="s">
        <v>3091</v>
      </c>
      <c r="D917" s="23" t="s">
        <v>2235</v>
      </c>
      <c r="E917" s="46"/>
      <c r="F917" s="26"/>
      <c r="G917" s="26"/>
      <c r="H917" s="26"/>
      <c r="I917" s="26"/>
      <c r="J917" s="26"/>
      <c r="K917" s="27"/>
      <c r="L917" s="28"/>
      <c r="M917" s="29" t="str">
        <f t="shared" si="70"/>
        <v/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3092</v>
      </c>
      <c r="C918" s="44" t="s">
        <v>3093</v>
      </c>
      <c r="D918" s="42" t="s">
        <v>2235</v>
      </c>
      <c r="E918" s="46"/>
      <c r="F918" s="26"/>
      <c r="G918" s="26"/>
      <c r="H918" s="26"/>
      <c r="I918" s="26"/>
      <c r="J918" s="26"/>
      <c r="K918" s="27"/>
      <c r="L918" s="28"/>
      <c r="M918" s="29" t="str">
        <f t="shared" si="70"/>
        <v/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3094</v>
      </c>
      <c r="C919" s="25" t="s">
        <v>3095</v>
      </c>
      <c r="D919" s="23" t="s">
        <v>2235</v>
      </c>
      <c r="E919" s="46"/>
      <c r="F919" s="26"/>
      <c r="G919" s="26"/>
      <c r="H919" s="26"/>
      <c r="I919" s="26"/>
      <c r="J919" s="26"/>
      <c r="K919" s="27"/>
      <c r="L919" s="28"/>
      <c r="M919" s="29" t="str">
        <f t="shared" si="70"/>
        <v/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3096</v>
      </c>
      <c r="C920" s="44" t="s">
        <v>3097</v>
      </c>
      <c r="D920" s="42" t="s">
        <v>2235</v>
      </c>
      <c r="E920" s="46"/>
      <c r="F920" s="26"/>
      <c r="G920" s="26"/>
      <c r="H920" s="26"/>
      <c r="I920" s="26"/>
      <c r="J920" s="26"/>
      <c r="K920" s="27"/>
      <c r="L920" s="28"/>
      <c r="M920" s="29" t="str">
        <f t="shared" si="70"/>
        <v/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3098</v>
      </c>
      <c r="C921" s="25" t="s">
        <v>3099</v>
      </c>
      <c r="D921" s="23" t="s">
        <v>2235</v>
      </c>
      <c r="E921" s="46"/>
      <c r="F921" s="26"/>
      <c r="G921" s="26"/>
      <c r="H921" s="26"/>
      <c r="I921" s="26"/>
      <c r="J921" s="26"/>
      <c r="K921" s="27"/>
      <c r="L921" s="28"/>
      <c r="M921" s="29" t="str">
        <f t="shared" si="70"/>
        <v/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3100</v>
      </c>
      <c r="C922" s="44" t="s">
        <v>3101</v>
      </c>
      <c r="D922" s="42" t="s">
        <v>2235</v>
      </c>
      <c r="E922" s="46"/>
      <c r="F922" s="26"/>
      <c r="G922" s="26"/>
      <c r="H922" s="26"/>
      <c r="I922" s="26"/>
      <c r="J922" s="26"/>
      <c r="K922" s="27"/>
      <c r="L922" s="28"/>
      <c r="M922" s="29" t="str">
        <f t="shared" si="70"/>
        <v/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3102</v>
      </c>
      <c r="C923" s="25" t="s">
        <v>3103</v>
      </c>
      <c r="D923" s="23" t="s">
        <v>2235</v>
      </c>
      <c r="E923" s="46"/>
      <c r="F923" s="26"/>
      <c r="G923" s="26"/>
      <c r="H923" s="26"/>
      <c r="I923" s="26"/>
      <c r="J923" s="26"/>
      <c r="K923" s="27"/>
      <c r="L923" s="28"/>
      <c r="M923" s="29" t="str">
        <f t="shared" si="70"/>
        <v/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3104</v>
      </c>
      <c r="C924" s="44" t="s">
        <v>3105</v>
      </c>
      <c r="D924" s="42" t="s">
        <v>2235</v>
      </c>
      <c r="E924" s="46"/>
      <c r="F924" s="26"/>
      <c r="G924" s="26"/>
      <c r="H924" s="26"/>
      <c r="I924" s="26"/>
      <c r="J924" s="26"/>
      <c r="K924" s="27"/>
      <c r="L924" s="28"/>
      <c r="M924" s="29" t="str">
        <f t="shared" si="70"/>
        <v/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3106</v>
      </c>
      <c r="C925" s="25" t="s">
        <v>3107</v>
      </c>
      <c r="D925" s="23" t="s">
        <v>2235</v>
      </c>
      <c r="E925" s="46"/>
      <c r="F925" s="26"/>
      <c r="G925" s="26"/>
      <c r="H925" s="26"/>
      <c r="I925" s="26"/>
      <c r="J925" s="26"/>
      <c r="K925" s="27"/>
      <c r="L925" s="28"/>
      <c r="M925" s="29" t="str">
        <f t="shared" si="70"/>
        <v/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3108</v>
      </c>
      <c r="C926" s="44" t="s">
        <v>3109</v>
      </c>
      <c r="D926" s="42" t="s">
        <v>2235</v>
      </c>
      <c r="E926" s="46"/>
      <c r="F926" s="26"/>
      <c r="G926" s="26"/>
      <c r="H926" s="26"/>
      <c r="I926" s="26"/>
      <c r="J926" s="26"/>
      <c r="K926" s="27"/>
      <c r="L926" s="28"/>
      <c r="M926" s="29" t="str">
        <f t="shared" si="70"/>
        <v/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3110</v>
      </c>
      <c r="C927" s="25" t="s">
        <v>3111</v>
      </c>
      <c r="D927" s="23" t="s">
        <v>2235</v>
      </c>
      <c r="E927" s="46"/>
      <c r="F927" s="26"/>
      <c r="G927" s="26"/>
      <c r="H927" s="26"/>
      <c r="I927" s="26"/>
      <c r="J927" s="26"/>
      <c r="K927" s="27"/>
      <c r="L927" s="28"/>
      <c r="M927" s="29" t="str">
        <f t="shared" si="70"/>
        <v/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3112</v>
      </c>
      <c r="C928" s="44" t="s">
        <v>3113</v>
      </c>
      <c r="D928" s="42" t="s">
        <v>2235</v>
      </c>
      <c r="E928" s="46"/>
      <c r="F928" s="26"/>
      <c r="G928" s="26"/>
      <c r="H928" s="26"/>
      <c r="I928" s="26"/>
      <c r="J928" s="26"/>
      <c r="K928" s="27"/>
      <c r="L928" s="28"/>
      <c r="M928" s="29" t="str">
        <f t="shared" si="70"/>
        <v/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3114</v>
      </c>
      <c r="C929" s="25" t="s">
        <v>3115</v>
      </c>
      <c r="D929" s="23" t="s">
        <v>2235</v>
      </c>
      <c r="E929" s="46"/>
      <c r="F929" s="26"/>
      <c r="G929" s="26"/>
      <c r="H929" s="26"/>
      <c r="I929" s="26"/>
      <c r="J929" s="26"/>
      <c r="K929" s="27"/>
      <c r="L929" s="28"/>
      <c r="M929" s="29" t="str">
        <f t="shared" si="70"/>
        <v/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3116</v>
      </c>
      <c r="C930" s="44" t="s">
        <v>3117</v>
      </c>
      <c r="D930" s="42" t="s">
        <v>2235</v>
      </c>
      <c r="E930" s="46"/>
      <c r="F930" s="26"/>
      <c r="G930" s="26"/>
      <c r="H930" s="26"/>
      <c r="I930" s="26"/>
      <c r="J930" s="26"/>
      <c r="K930" s="27"/>
      <c r="L930" s="28"/>
      <c r="M930" s="29" t="str">
        <f t="shared" si="70"/>
        <v/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3118</v>
      </c>
      <c r="C931" s="25" t="s">
        <v>3119</v>
      </c>
      <c r="D931" s="23" t="s">
        <v>2235</v>
      </c>
      <c r="E931" s="46"/>
      <c r="F931" s="26"/>
      <c r="G931" s="26"/>
      <c r="H931" s="26"/>
      <c r="I931" s="26"/>
      <c r="J931" s="26"/>
      <c r="K931" s="27"/>
      <c r="L931" s="28"/>
      <c r="M931" s="29" t="str">
        <f t="shared" si="70"/>
        <v/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3120</v>
      </c>
      <c r="C932" s="44" t="s">
        <v>3121</v>
      </c>
      <c r="D932" s="42" t="s">
        <v>2235</v>
      </c>
      <c r="E932" s="46"/>
      <c r="F932" s="26"/>
      <c r="G932" s="26"/>
      <c r="H932" s="26"/>
      <c r="I932" s="26"/>
      <c r="J932" s="26"/>
      <c r="K932" s="27"/>
      <c r="L932" s="28"/>
      <c r="M932" s="29" t="str">
        <f t="shared" si="70"/>
        <v/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3122</v>
      </c>
      <c r="C933" s="25" t="s">
        <v>3123</v>
      </c>
      <c r="D933" s="23" t="s">
        <v>2235</v>
      </c>
      <c r="E933" s="46"/>
      <c r="F933" s="26"/>
      <c r="G933" s="26"/>
      <c r="H933" s="26"/>
      <c r="I933" s="26"/>
      <c r="J933" s="26"/>
      <c r="K933" s="27"/>
      <c r="L933" s="28"/>
      <c r="M933" s="29" t="str">
        <f t="shared" si="70"/>
        <v/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3124</v>
      </c>
      <c r="C934" s="44" t="s">
        <v>3125</v>
      </c>
      <c r="D934" s="42" t="s">
        <v>2235</v>
      </c>
      <c r="E934" s="46"/>
      <c r="F934" s="26"/>
      <c r="G934" s="26"/>
      <c r="H934" s="26"/>
      <c r="I934" s="26"/>
      <c r="J934" s="26"/>
      <c r="K934" s="27"/>
      <c r="L934" s="28"/>
      <c r="M934" s="29" t="str">
        <f t="shared" si="70"/>
        <v/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3126</v>
      </c>
      <c r="C935" s="25" t="s">
        <v>3127</v>
      </c>
      <c r="D935" s="23" t="s">
        <v>2235</v>
      </c>
      <c r="E935" s="46"/>
      <c r="F935" s="26"/>
      <c r="G935" s="26"/>
      <c r="H935" s="26"/>
      <c r="I935" s="26"/>
      <c r="J935" s="26"/>
      <c r="K935" s="27"/>
      <c r="L935" s="28"/>
      <c r="M935" s="29" t="str">
        <f t="shared" si="70"/>
        <v/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3128</v>
      </c>
      <c r="C936" s="44" t="s">
        <v>3129</v>
      </c>
      <c r="D936" s="42" t="s">
        <v>2235</v>
      </c>
      <c r="E936" s="46"/>
      <c r="F936" s="26"/>
      <c r="G936" s="26"/>
      <c r="H936" s="26"/>
      <c r="I936" s="26"/>
      <c r="J936" s="26"/>
      <c r="K936" s="27"/>
      <c r="L936" s="28"/>
      <c r="M936" s="29" t="str">
        <f t="shared" si="70"/>
        <v/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3130</v>
      </c>
      <c r="C937" s="25" t="s">
        <v>3131</v>
      </c>
      <c r="D937" s="23" t="s">
        <v>2235</v>
      </c>
      <c r="E937" s="46"/>
      <c r="F937" s="26"/>
      <c r="G937" s="26"/>
      <c r="H937" s="26"/>
      <c r="I937" s="26"/>
      <c r="J937" s="26"/>
      <c r="K937" s="27"/>
      <c r="L937" s="28"/>
      <c r="M937" s="29" t="str">
        <f t="shared" si="70"/>
        <v/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3132</v>
      </c>
      <c r="C938" s="44" t="s">
        <v>3133</v>
      </c>
      <c r="D938" s="42" t="s">
        <v>2235</v>
      </c>
      <c r="E938" s="46"/>
      <c r="F938" s="26"/>
      <c r="G938" s="26"/>
      <c r="H938" s="26"/>
      <c r="I938" s="26"/>
      <c r="J938" s="26"/>
      <c r="K938" s="27"/>
      <c r="L938" s="28"/>
      <c r="M938" s="29" t="str">
        <f t="shared" si="70"/>
        <v/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3134</v>
      </c>
      <c r="C939" s="25" t="s">
        <v>3135</v>
      </c>
      <c r="D939" s="23" t="s">
        <v>2235</v>
      </c>
      <c r="E939" s="46"/>
      <c r="F939" s="26"/>
      <c r="G939" s="26"/>
      <c r="H939" s="26"/>
      <c r="I939" s="26"/>
      <c r="J939" s="26"/>
      <c r="K939" s="27"/>
      <c r="L939" s="28"/>
      <c r="M939" s="29" t="str">
        <f t="shared" si="70"/>
        <v/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3136</v>
      </c>
      <c r="C940" s="44" t="s">
        <v>3137</v>
      </c>
      <c r="D940" s="42" t="s">
        <v>2235</v>
      </c>
      <c r="E940" s="46"/>
      <c r="F940" s="26"/>
      <c r="G940" s="26"/>
      <c r="H940" s="26"/>
      <c r="I940" s="26"/>
      <c r="J940" s="26"/>
      <c r="K940" s="27"/>
      <c r="L940" s="28"/>
      <c r="M940" s="29" t="str">
        <f t="shared" si="70"/>
        <v/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3138</v>
      </c>
      <c r="C941" s="25" t="s">
        <v>3139</v>
      </c>
      <c r="D941" s="23" t="s">
        <v>2235</v>
      </c>
      <c r="E941" s="46"/>
      <c r="F941" s="26"/>
      <c r="G941" s="26"/>
      <c r="H941" s="26"/>
      <c r="I941" s="26"/>
      <c r="J941" s="26"/>
      <c r="K941" s="27"/>
      <c r="L941" s="28"/>
      <c r="M941" s="29" t="str">
        <f t="shared" si="70"/>
        <v/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3140</v>
      </c>
      <c r="C942" s="44" t="s">
        <v>3141</v>
      </c>
      <c r="D942" s="42" t="s">
        <v>2235</v>
      </c>
      <c r="E942" s="46"/>
      <c r="F942" s="26"/>
      <c r="G942" s="26"/>
      <c r="H942" s="26"/>
      <c r="I942" s="26"/>
      <c r="J942" s="26"/>
      <c r="K942" s="27"/>
      <c r="L942" s="28"/>
      <c r="M942" s="29" t="str">
        <f t="shared" si="70"/>
        <v/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3142</v>
      </c>
      <c r="C943" s="25" t="s">
        <v>3143</v>
      </c>
      <c r="D943" s="23" t="s">
        <v>2235</v>
      </c>
      <c r="E943" s="46"/>
      <c r="F943" s="26"/>
      <c r="G943" s="26"/>
      <c r="H943" s="26"/>
      <c r="I943" s="26"/>
      <c r="J943" s="26"/>
      <c r="K943" s="27"/>
      <c r="L943" s="28"/>
      <c r="M943" s="29" t="str">
        <f t="shared" si="70"/>
        <v/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3144</v>
      </c>
      <c r="C944" s="44" t="s">
        <v>3145</v>
      </c>
      <c r="D944" s="42" t="s">
        <v>2235</v>
      </c>
      <c r="E944" s="46"/>
      <c r="F944" s="26"/>
      <c r="G944" s="26"/>
      <c r="H944" s="26"/>
      <c r="I944" s="26"/>
      <c r="J944" s="26"/>
      <c r="K944" s="27"/>
      <c r="L944" s="28"/>
      <c r="M944" s="29" t="str">
        <f t="shared" si="70"/>
        <v/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3146</v>
      </c>
      <c r="C945" s="25" t="s">
        <v>3147</v>
      </c>
      <c r="D945" s="23" t="s">
        <v>2235</v>
      </c>
      <c r="E945" s="46"/>
      <c r="F945" s="26"/>
      <c r="G945" s="26"/>
      <c r="H945" s="26"/>
      <c r="I945" s="26"/>
      <c r="J945" s="26"/>
      <c r="K945" s="27"/>
      <c r="L945" s="28"/>
      <c r="M945" s="29" t="str">
        <f t="shared" si="70"/>
        <v/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3148</v>
      </c>
      <c r="C946" s="44" t="s">
        <v>3149</v>
      </c>
      <c r="D946" s="42" t="s">
        <v>2235</v>
      </c>
      <c r="E946" s="46"/>
      <c r="F946" s="26"/>
      <c r="G946" s="26"/>
      <c r="H946" s="26"/>
      <c r="I946" s="26"/>
      <c r="J946" s="26"/>
      <c r="K946" s="27"/>
      <c r="L946" s="28"/>
      <c r="M946" s="29" t="str">
        <f t="shared" si="70"/>
        <v/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3150</v>
      </c>
      <c r="C947" s="25" t="s">
        <v>3151</v>
      </c>
      <c r="D947" s="23" t="s">
        <v>2235</v>
      </c>
      <c r="E947" s="46"/>
      <c r="F947" s="26"/>
      <c r="G947" s="26"/>
      <c r="H947" s="26"/>
      <c r="I947" s="26"/>
      <c r="J947" s="26"/>
      <c r="K947" s="27"/>
      <c r="L947" s="28"/>
      <c r="M947" s="29" t="str">
        <f t="shared" si="70"/>
        <v/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3152</v>
      </c>
      <c r="C948" s="44" t="s">
        <v>3153</v>
      </c>
      <c r="D948" s="42" t="s">
        <v>2235</v>
      </c>
      <c r="E948" s="46"/>
      <c r="F948" s="26"/>
      <c r="G948" s="26"/>
      <c r="H948" s="26"/>
      <c r="I948" s="26"/>
      <c r="J948" s="26"/>
      <c r="K948" s="27"/>
      <c r="L948" s="28"/>
      <c r="M948" s="29" t="str">
        <f t="shared" si="70"/>
        <v/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3154</v>
      </c>
      <c r="C949" s="25" t="s">
        <v>3155</v>
      </c>
      <c r="D949" s="23" t="s">
        <v>2235</v>
      </c>
      <c r="E949" s="46"/>
      <c r="F949" s="26"/>
      <c r="G949" s="26"/>
      <c r="H949" s="26"/>
      <c r="I949" s="26"/>
      <c r="J949" s="26"/>
      <c r="K949" s="27"/>
      <c r="L949" s="28"/>
      <c r="M949" s="29" t="str">
        <f t="shared" si="70"/>
        <v/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3156</v>
      </c>
      <c r="C950" s="44" t="s">
        <v>3157</v>
      </c>
      <c r="D950" s="42" t="s">
        <v>2235</v>
      </c>
      <c r="E950" s="46"/>
      <c r="F950" s="26"/>
      <c r="G950" s="26"/>
      <c r="H950" s="26"/>
      <c r="I950" s="26"/>
      <c r="J950" s="26"/>
      <c r="K950" s="27"/>
      <c r="L950" s="28"/>
      <c r="M950" s="29" t="str">
        <f t="shared" si="70"/>
        <v/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3158</v>
      </c>
      <c r="C951" s="25" t="s">
        <v>3159</v>
      </c>
      <c r="D951" s="23" t="s">
        <v>2235</v>
      </c>
      <c r="E951" s="46"/>
      <c r="F951" s="26"/>
      <c r="G951" s="26"/>
      <c r="H951" s="26"/>
      <c r="I951" s="26"/>
      <c r="J951" s="26"/>
      <c r="K951" s="27"/>
      <c r="L951" s="28"/>
      <c r="M951" s="29" t="str">
        <f t="shared" si="70"/>
        <v/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3160</v>
      </c>
      <c r="C952" s="44" t="s">
        <v>3161</v>
      </c>
      <c r="D952" s="42" t="s">
        <v>2235</v>
      </c>
      <c r="E952" s="46"/>
      <c r="F952" s="26"/>
      <c r="G952" s="26"/>
      <c r="H952" s="26"/>
      <c r="I952" s="26"/>
      <c r="J952" s="26"/>
      <c r="K952" s="27"/>
      <c r="L952" s="28"/>
      <c r="M952" s="29" t="str">
        <f t="shared" si="70"/>
        <v/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3162</v>
      </c>
      <c r="C953" s="25" t="s">
        <v>3163</v>
      </c>
      <c r="D953" s="23" t="s">
        <v>2235</v>
      </c>
      <c r="E953" s="46"/>
      <c r="F953" s="26"/>
      <c r="G953" s="26"/>
      <c r="H953" s="26"/>
      <c r="I953" s="26"/>
      <c r="J953" s="26"/>
      <c r="K953" s="27"/>
      <c r="L953" s="28"/>
      <c r="M953" s="29" t="str">
        <f t="shared" si="70"/>
        <v/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3164</v>
      </c>
      <c r="C954" s="44" t="s">
        <v>3165</v>
      </c>
      <c r="D954" s="42" t="s">
        <v>2235</v>
      </c>
      <c r="E954" s="46"/>
      <c r="F954" s="26"/>
      <c r="G954" s="26"/>
      <c r="H954" s="26"/>
      <c r="I954" s="26"/>
      <c r="J954" s="26"/>
      <c r="K954" s="27"/>
      <c r="L954" s="28"/>
      <c r="M954" s="29" t="str">
        <f t="shared" si="70"/>
        <v/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3166</v>
      </c>
      <c r="C955" s="25" t="s">
        <v>3167</v>
      </c>
      <c r="D955" s="23" t="s">
        <v>2235</v>
      </c>
      <c r="E955" s="46"/>
      <c r="F955" s="26"/>
      <c r="G955" s="26"/>
      <c r="H955" s="26"/>
      <c r="I955" s="26"/>
      <c r="J955" s="26"/>
      <c r="K955" s="27"/>
      <c r="L955" s="28"/>
      <c r="M955" s="29" t="str">
        <f t="shared" si="70"/>
        <v/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3168</v>
      </c>
      <c r="C956" s="44" t="s">
        <v>3169</v>
      </c>
      <c r="D956" s="42" t="s">
        <v>2235</v>
      </c>
      <c r="E956" s="46"/>
      <c r="F956" s="26"/>
      <c r="G956" s="26"/>
      <c r="H956" s="26"/>
      <c r="I956" s="26"/>
      <c r="J956" s="26"/>
      <c r="K956" s="27"/>
      <c r="L956" s="28"/>
      <c r="M956" s="29" t="str">
        <f t="shared" si="70"/>
        <v/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3170</v>
      </c>
      <c r="C957" s="25" t="s">
        <v>3171</v>
      </c>
      <c r="D957" s="23" t="s">
        <v>2235</v>
      </c>
      <c r="E957" s="46"/>
      <c r="F957" s="26"/>
      <c r="G957" s="26"/>
      <c r="H957" s="26"/>
      <c r="I957" s="26"/>
      <c r="J957" s="26"/>
      <c r="K957" s="27"/>
      <c r="L957" s="28"/>
      <c r="M957" s="29" t="str">
        <f t="shared" si="70"/>
        <v/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3172</v>
      </c>
      <c r="C958" s="44" t="s">
        <v>3173</v>
      </c>
      <c r="D958" s="42" t="s">
        <v>2235</v>
      </c>
      <c r="E958" s="46"/>
      <c r="F958" s="26"/>
      <c r="G958" s="26"/>
      <c r="H958" s="26"/>
      <c r="I958" s="26"/>
      <c r="J958" s="26"/>
      <c r="K958" s="27"/>
      <c r="L958" s="28"/>
      <c r="M958" s="29" t="str">
        <f t="shared" si="70"/>
        <v/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3174</v>
      </c>
      <c r="C959" s="25" t="s">
        <v>3175</v>
      </c>
      <c r="D959" s="23" t="s">
        <v>2235</v>
      </c>
      <c r="E959" s="46"/>
      <c r="F959" s="26"/>
      <c r="G959" s="26"/>
      <c r="H959" s="26"/>
      <c r="I959" s="26"/>
      <c r="J959" s="26"/>
      <c r="K959" s="27"/>
      <c r="L959" s="28"/>
      <c r="M959" s="29" t="str">
        <f t="shared" si="70"/>
        <v/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3176</v>
      </c>
      <c r="C960" s="44" t="s">
        <v>3177</v>
      </c>
      <c r="D960" s="42" t="s">
        <v>2235</v>
      </c>
      <c r="E960" s="46"/>
      <c r="F960" s="26"/>
      <c r="G960" s="26"/>
      <c r="H960" s="26"/>
      <c r="I960" s="26"/>
      <c r="J960" s="26"/>
      <c r="K960" s="27"/>
      <c r="L960" s="28"/>
      <c r="M960" s="29" t="str">
        <f t="shared" si="70"/>
        <v/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3178</v>
      </c>
      <c r="C961" s="25" t="s">
        <v>3179</v>
      </c>
      <c r="D961" s="23" t="s">
        <v>2235</v>
      </c>
      <c r="E961" s="46"/>
      <c r="F961" s="26"/>
      <c r="G961" s="26"/>
      <c r="H961" s="26"/>
      <c r="I961" s="26"/>
      <c r="J961" s="26"/>
      <c r="K961" s="27"/>
      <c r="L961" s="28"/>
      <c r="M961" s="29" t="str">
        <f t="shared" si="70"/>
        <v/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3180</v>
      </c>
      <c r="C962" s="44" t="s">
        <v>3181</v>
      </c>
      <c r="D962" s="42" t="s">
        <v>2235</v>
      </c>
      <c r="E962" s="46"/>
      <c r="F962" s="26"/>
      <c r="G962" s="26"/>
      <c r="H962" s="26"/>
      <c r="I962" s="26"/>
      <c r="J962" s="26"/>
      <c r="K962" s="27"/>
      <c r="L962" s="28"/>
      <c r="M962" s="29" t="str">
        <f t="shared" si="70"/>
        <v/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3182</v>
      </c>
      <c r="C963" s="25" t="s">
        <v>3183</v>
      </c>
      <c r="D963" s="23" t="s">
        <v>2235</v>
      </c>
      <c r="E963" s="46"/>
      <c r="F963" s="26"/>
      <c r="G963" s="26"/>
      <c r="H963" s="26"/>
      <c r="I963" s="26"/>
      <c r="J963" s="26"/>
      <c r="K963" s="27"/>
      <c r="L963" s="28"/>
      <c r="M963" s="29" t="str">
        <f t="shared" si="70"/>
        <v/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3184</v>
      </c>
      <c r="C964" s="44" t="s">
        <v>3185</v>
      </c>
      <c r="D964" s="42" t="s">
        <v>2235</v>
      </c>
      <c r="E964" s="46"/>
      <c r="F964" s="26"/>
      <c r="G964" s="26"/>
      <c r="H964" s="26"/>
      <c r="I964" s="26"/>
      <c r="J964" s="26"/>
      <c r="K964" s="27"/>
      <c r="L964" s="28"/>
      <c r="M964" s="29" t="str">
        <f t="shared" si="70"/>
        <v/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3186</v>
      </c>
      <c r="C965" s="25" t="s">
        <v>3187</v>
      </c>
      <c r="D965" s="23" t="s">
        <v>2235</v>
      </c>
      <c r="E965" s="46"/>
      <c r="F965" s="26"/>
      <c r="G965" s="26"/>
      <c r="H965" s="26"/>
      <c r="I965" s="26"/>
      <c r="J965" s="26"/>
      <c r="K965" s="27"/>
      <c r="L965" s="28"/>
      <c r="M965" s="29" t="str">
        <f t="shared" ref="M965:M1028" si="75">IF(E965="","",IF(H965="Yes","❌ Disc",IF(G965="No","⚠ Missing",IF(J965="Yes","✓ OK","⚠ Check"))))</f>
        <v/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3188</v>
      </c>
      <c r="C966" s="44" t="s">
        <v>3189</v>
      </c>
      <c r="D966" s="42" t="s">
        <v>2235</v>
      </c>
      <c r="E966" s="46"/>
      <c r="F966" s="26"/>
      <c r="G966" s="26"/>
      <c r="H966" s="26"/>
      <c r="I966" s="26"/>
      <c r="J966" s="26"/>
      <c r="K966" s="27"/>
      <c r="L966" s="28"/>
      <c r="M966" s="29" t="str">
        <f t="shared" si="75"/>
        <v/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3190</v>
      </c>
      <c r="C967" s="25" t="s">
        <v>3191</v>
      </c>
      <c r="D967" s="23" t="s">
        <v>2235</v>
      </c>
      <c r="E967" s="46"/>
      <c r="F967" s="26"/>
      <c r="G967" s="26"/>
      <c r="H967" s="26"/>
      <c r="I967" s="26"/>
      <c r="J967" s="26"/>
      <c r="K967" s="27"/>
      <c r="L967" s="28"/>
      <c r="M967" s="29" t="str">
        <f t="shared" si="75"/>
        <v/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3192</v>
      </c>
      <c r="C968" s="44" t="s">
        <v>3193</v>
      </c>
      <c r="D968" s="42" t="s">
        <v>2235</v>
      </c>
      <c r="E968" s="46"/>
      <c r="F968" s="26"/>
      <c r="G968" s="26"/>
      <c r="H968" s="26"/>
      <c r="I968" s="26"/>
      <c r="J968" s="26"/>
      <c r="K968" s="27"/>
      <c r="L968" s="28"/>
      <c r="M968" s="29" t="str">
        <f t="shared" si="75"/>
        <v/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3194</v>
      </c>
      <c r="C969" s="25" t="s">
        <v>3195</v>
      </c>
      <c r="D969" s="23" t="s">
        <v>2235</v>
      </c>
      <c r="E969" s="46"/>
      <c r="F969" s="26"/>
      <c r="G969" s="26"/>
      <c r="H969" s="26"/>
      <c r="I969" s="26"/>
      <c r="J969" s="26"/>
      <c r="K969" s="27"/>
      <c r="L969" s="28"/>
      <c r="M969" s="29" t="str">
        <f t="shared" si="75"/>
        <v/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3196</v>
      </c>
      <c r="C970" s="44" t="s">
        <v>3197</v>
      </c>
      <c r="D970" s="42" t="s">
        <v>2235</v>
      </c>
      <c r="E970" s="46"/>
      <c r="F970" s="26"/>
      <c r="G970" s="26"/>
      <c r="H970" s="26"/>
      <c r="I970" s="26"/>
      <c r="J970" s="26"/>
      <c r="K970" s="27"/>
      <c r="L970" s="28"/>
      <c r="M970" s="29" t="str">
        <f t="shared" si="75"/>
        <v/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3198</v>
      </c>
      <c r="C971" s="25" t="s">
        <v>3199</v>
      </c>
      <c r="D971" s="23" t="s">
        <v>2235</v>
      </c>
      <c r="E971" s="46"/>
      <c r="F971" s="26"/>
      <c r="G971" s="26"/>
      <c r="H971" s="26"/>
      <c r="I971" s="26"/>
      <c r="J971" s="26"/>
      <c r="K971" s="27"/>
      <c r="L971" s="28"/>
      <c r="M971" s="29" t="str">
        <f t="shared" si="75"/>
        <v/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3200</v>
      </c>
      <c r="C972" s="44" t="s">
        <v>3201</v>
      </c>
      <c r="D972" s="42" t="s">
        <v>2235</v>
      </c>
      <c r="E972" s="46"/>
      <c r="F972" s="26"/>
      <c r="G972" s="26"/>
      <c r="H972" s="26"/>
      <c r="I972" s="26"/>
      <c r="J972" s="26"/>
      <c r="K972" s="27"/>
      <c r="L972" s="28"/>
      <c r="M972" s="29" t="str">
        <f t="shared" si="75"/>
        <v/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3202</v>
      </c>
      <c r="C973" s="25" t="s">
        <v>3203</v>
      </c>
      <c r="D973" s="23" t="s">
        <v>2235</v>
      </c>
      <c r="E973" s="46"/>
      <c r="F973" s="26"/>
      <c r="G973" s="26"/>
      <c r="H973" s="26"/>
      <c r="I973" s="26"/>
      <c r="J973" s="26"/>
      <c r="K973" s="27"/>
      <c r="L973" s="28"/>
      <c r="M973" s="29" t="str">
        <f t="shared" si="75"/>
        <v/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3204</v>
      </c>
      <c r="C974" s="44" t="s">
        <v>3205</v>
      </c>
      <c r="D974" s="42" t="s">
        <v>2235</v>
      </c>
      <c r="E974" s="46"/>
      <c r="F974" s="26"/>
      <c r="G974" s="26"/>
      <c r="H974" s="26"/>
      <c r="I974" s="26"/>
      <c r="J974" s="26"/>
      <c r="K974" s="27"/>
      <c r="L974" s="28"/>
      <c r="M974" s="29" t="str">
        <f t="shared" si="75"/>
        <v/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3206</v>
      </c>
      <c r="C975" s="25" t="s">
        <v>3207</v>
      </c>
      <c r="D975" s="23" t="s">
        <v>2235</v>
      </c>
      <c r="E975" s="46"/>
      <c r="F975" s="26"/>
      <c r="G975" s="26"/>
      <c r="H975" s="26"/>
      <c r="I975" s="26"/>
      <c r="J975" s="26"/>
      <c r="K975" s="27"/>
      <c r="L975" s="28"/>
      <c r="M975" s="29" t="str">
        <f t="shared" si="75"/>
        <v/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3208</v>
      </c>
      <c r="C976" s="44" t="s">
        <v>3209</v>
      </c>
      <c r="D976" s="42" t="s">
        <v>2235</v>
      </c>
      <c r="E976" s="46"/>
      <c r="F976" s="26"/>
      <c r="G976" s="26"/>
      <c r="H976" s="26"/>
      <c r="I976" s="26"/>
      <c r="J976" s="26"/>
      <c r="K976" s="27"/>
      <c r="L976" s="28"/>
      <c r="M976" s="29" t="str">
        <f t="shared" si="75"/>
        <v/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3210</v>
      </c>
      <c r="C977" s="25" t="s">
        <v>3211</v>
      </c>
      <c r="D977" s="23" t="s">
        <v>2235</v>
      </c>
      <c r="E977" s="46"/>
      <c r="F977" s="26"/>
      <c r="G977" s="26"/>
      <c r="H977" s="26"/>
      <c r="I977" s="26"/>
      <c r="J977" s="26"/>
      <c r="K977" s="27"/>
      <c r="L977" s="28"/>
      <c r="M977" s="29" t="str">
        <f t="shared" si="75"/>
        <v/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3212</v>
      </c>
      <c r="C978" s="44" t="s">
        <v>3213</v>
      </c>
      <c r="D978" s="42" t="s">
        <v>2235</v>
      </c>
      <c r="E978" s="46"/>
      <c r="F978" s="26"/>
      <c r="G978" s="26"/>
      <c r="H978" s="26"/>
      <c r="I978" s="26"/>
      <c r="J978" s="26"/>
      <c r="K978" s="27"/>
      <c r="L978" s="28"/>
      <c r="M978" s="29" t="str">
        <f t="shared" si="75"/>
        <v/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3214</v>
      </c>
      <c r="C979" s="25" t="s">
        <v>3215</v>
      </c>
      <c r="D979" s="23" t="s">
        <v>2235</v>
      </c>
      <c r="E979" s="46"/>
      <c r="F979" s="26"/>
      <c r="G979" s="26"/>
      <c r="H979" s="26"/>
      <c r="I979" s="26"/>
      <c r="J979" s="26"/>
      <c r="K979" s="27"/>
      <c r="L979" s="28"/>
      <c r="M979" s="29" t="str">
        <f t="shared" si="75"/>
        <v/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3216</v>
      </c>
      <c r="C980" s="44" t="s">
        <v>3217</v>
      </c>
      <c r="D980" s="42" t="s">
        <v>2235</v>
      </c>
      <c r="E980" s="46"/>
      <c r="F980" s="26"/>
      <c r="G980" s="26"/>
      <c r="H980" s="26"/>
      <c r="I980" s="26"/>
      <c r="J980" s="26"/>
      <c r="K980" s="27"/>
      <c r="L980" s="28"/>
      <c r="M980" s="29" t="str">
        <f t="shared" si="75"/>
        <v/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3218</v>
      </c>
      <c r="C981" s="25" t="s">
        <v>3219</v>
      </c>
      <c r="D981" s="23" t="s">
        <v>2235</v>
      </c>
      <c r="E981" s="46"/>
      <c r="F981" s="26"/>
      <c r="G981" s="26"/>
      <c r="H981" s="26"/>
      <c r="I981" s="26"/>
      <c r="J981" s="26"/>
      <c r="K981" s="27"/>
      <c r="L981" s="28"/>
      <c r="M981" s="29" t="str">
        <f t="shared" si="75"/>
        <v/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3220</v>
      </c>
      <c r="C982" s="44" t="s">
        <v>3221</v>
      </c>
      <c r="D982" s="42" t="s">
        <v>2235</v>
      </c>
      <c r="E982" s="46"/>
      <c r="F982" s="26"/>
      <c r="G982" s="26"/>
      <c r="H982" s="26"/>
      <c r="I982" s="26"/>
      <c r="J982" s="26"/>
      <c r="K982" s="27"/>
      <c r="L982" s="28"/>
      <c r="M982" s="29" t="str">
        <f t="shared" si="75"/>
        <v/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3222</v>
      </c>
      <c r="C983" s="25" t="s">
        <v>3223</v>
      </c>
      <c r="D983" s="23" t="s">
        <v>2235</v>
      </c>
      <c r="E983" s="46"/>
      <c r="F983" s="26"/>
      <c r="G983" s="26"/>
      <c r="H983" s="26"/>
      <c r="I983" s="26"/>
      <c r="J983" s="26"/>
      <c r="K983" s="27"/>
      <c r="L983" s="28"/>
      <c r="M983" s="29" t="str">
        <f t="shared" si="75"/>
        <v/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3224</v>
      </c>
      <c r="C984" s="44" t="s">
        <v>3225</v>
      </c>
      <c r="D984" s="42" t="s">
        <v>2235</v>
      </c>
      <c r="E984" s="46"/>
      <c r="F984" s="26"/>
      <c r="G984" s="26"/>
      <c r="H984" s="26"/>
      <c r="I984" s="26"/>
      <c r="J984" s="26"/>
      <c r="K984" s="27"/>
      <c r="L984" s="28"/>
      <c r="M984" s="29" t="str">
        <f t="shared" si="75"/>
        <v/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3226</v>
      </c>
      <c r="C985" s="25" t="s">
        <v>3227</v>
      </c>
      <c r="D985" s="23" t="s">
        <v>2235</v>
      </c>
      <c r="E985" s="46"/>
      <c r="F985" s="26"/>
      <c r="G985" s="26"/>
      <c r="H985" s="26"/>
      <c r="I985" s="26"/>
      <c r="J985" s="26"/>
      <c r="K985" s="27"/>
      <c r="L985" s="28"/>
      <c r="M985" s="29" t="str">
        <f t="shared" si="75"/>
        <v/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3228</v>
      </c>
      <c r="C986" s="44" t="s">
        <v>3229</v>
      </c>
      <c r="D986" s="42" t="s">
        <v>2235</v>
      </c>
      <c r="E986" s="46"/>
      <c r="F986" s="26"/>
      <c r="G986" s="26"/>
      <c r="H986" s="26"/>
      <c r="I986" s="26"/>
      <c r="J986" s="26"/>
      <c r="K986" s="27"/>
      <c r="L986" s="28"/>
      <c r="M986" s="29" t="str">
        <f t="shared" si="75"/>
        <v/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3230</v>
      </c>
      <c r="C987" s="25" t="s">
        <v>3231</v>
      </c>
      <c r="D987" s="23" t="s">
        <v>2235</v>
      </c>
      <c r="E987" s="46"/>
      <c r="F987" s="26"/>
      <c r="G987" s="26"/>
      <c r="H987" s="26"/>
      <c r="I987" s="26"/>
      <c r="J987" s="26"/>
      <c r="K987" s="27"/>
      <c r="L987" s="28"/>
      <c r="M987" s="29" t="str">
        <f t="shared" si="75"/>
        <v/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3232</v>
      </c>
      <c r="C988" s="44" t="s">
        <v>3233</v>
      </c>
      <c r="D988" s="42" t="s">
        <v>2235</v>
      </c>
      <c r="E988" s="46"/>
      <c r="F988" s="26"/>
      <c r="G988" s="26"/>
      <c r="H988" s="26"/>
      <c r="I988" s="26"/>
      <c r="J988" s="26"/>
      <c r="K988" s="27"/>
      <c r="L988" s="28"/>
      <c r="M988" s="29" t="str">
        <f t="shared" si="75"/>
        <v/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3234</v>
      </c>
      <c r="C989" s="25" t="s">
        <v>3235</v>
      </c>
      <c r="D989" s="23" t="s">
        <v>2235</v>
      </c>
      <c r="E989" s="46"/>
      <c r="F989" s="26"/>
      <c r="G989" s="26"/>
      <c r="H989" s="26"/>
      <c r="I989" s="26"/>
      <c r="J989" s="26"/>
      <c r="K989" s="27"/>
      <c r="L989" s="28"/>
      <c r="M989" s="29" t="str">
        <f t="shared" si="75"/>
        <v/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3236</v>
      </c>
      <c r="C990" s="44" t="s">
        <v>3237</v>
      </c>
      <c r="D990" s="42" t="s">
        <v>2235</v>
      </c>
      <c r="E990" s="46"/>
      <c r="F990" s="26"/>
      <c r="G990" s="26"/>
      <c r="H990" s="26"/>
      <c r="I990" s="26"/>
      <c r="J990" s="26"/>
      <c r="K990" s="27"/>
      <c r="L990" s="28"/>
      <c r="M990" s="29" t="str">
        <f t="shared" si="75"/>
        <v/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3238</v>
      </c>
      <c r="C991" s="25" t="s">
        <v>3239</v>
      </c>
      <c r="D991" s="23" t="s">
        <v>2235</v>
      </c>
      <c r="E991" s="46"/>
      <c r="F991" s="26"/>
      <c r="G991" s="26"/>
      <c r="H991" s="26"/>
      <c r="I991" s="26"/>
      <c r="J991" s="26"/>
      <c r="K991" s="27"/>
      <c r="L991" s="28"/>
      <c r="M991" s="29" t="str">
        <f t="shared" si="75"/>
        <v/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3240</v>
      </c>
      <c r="C992" s="44" t="s">
        <v>3241</v>
      </c>
      <c r="D992" s="42" t="s">
        <v>2235</v>
      </c>
      <c r="E992" s="46"/>
      <c r="F992" s="26"/>
      <c r="G992" s="26"/>
      <c r="H992" s="26"/>
      <c r="I992" s="26"/>
      <c r="J992" s="26"/>
      <c r="K992" s="27"/>
      <c r="L992" s="28"/>
      <c r="M992" s="29" t="str">
        <f t="shared" si="75"/>
        <v/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3242</v>
      </c>
      <c r="C993" s="25" t="s">
        <v>3243</v>
      </c>
      <c r="D993" s="23" t="s">
        <v>2235</v>
      </c>
      <c r="E993" s="46"/>
      <c r="F993" s="26"/>
      <c r="G993" s="26"/>
      <c r="H993" s="26"/>
      <c r="I993" s="26"/>
      <c r="J993" s="26"/>
      <c r="K993" s="27"/>
      <c r="L993" s="28"/>
      <c r="M993" s="29" t="str">
        <f t="shared" si="75"/>
        <v/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3244</v>
      </c>
      <c r="C994" s="44" t="s">
        <v>3245</v>
      </c>
      <c r="D994" s="42" t="s">
        <v>2235</v>
      </c>
      <c r="E994" s="46"/>
      <c r="F994" s="26"/>
      <c r="G994" s="26"/>
      <c r="H994" s="26"/>
      <c r="I994" s="26"/>
      <c r="J994" s="26"/>
      <c r="K994" s="27"/>
      <c r="L994" s="28"/>
      <c r="M994" s="29" t="str">
        <f t="shared" si="75"/>
        <v/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3246</v>
      </c>
      <c r="C995" s="25" t="s">
        <v>3247</v>
      </c>
      <c r="D995" s="23" t="s">
        <v>2235</v>
      </c>
      <c r="E995" s="46"/>
      <c r="F995" s="26"/>
      <c r="G995" s="26"/>
      <c r="H995" s="26"/>
      <c r="I995" s="26"/>
      <c r="J995" s="26"/>
      <c r="K995" s="27"/>
      <c r="L995" s="28"/>
      <c r="M995" s="29" t="str">
        <f t="shared" si="75"/>
        <v/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3248</v>
      </c>
      <c r="C996" s="44" t="s">
        <v>3249</v>
      </c>
      <c r="D996" s="42" t="s">
        <v>2235</v>
      </c>
      <c r="E996" s="46"/>
      <c r="F996" s="26"/>
      <c r="G996" s="26"/>
      <c r="H996" s="26"/>
      <c r="I996" s="26"/>
      <c r="J996" s="26"/>
      <c r="K996" s="27"/>
      <c r="L996" s="28"/>
      <c r="M996" s="29" t="str">
        <f t="shared" si="75"/>
        <v/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3250</v>
      </c>
      <c r="C997" s="25" t="s">
        <v>3251</v>
      </c>
      <c r="D997" s="23" t="s">
        <v>2235</v>
      </c>
      <c r="E997" s="46"/>
      <c r="F997" s="26"/>
      <c r="G997" s="26"/>
      <c r="H997" s="26"/>
      <c r="I997" s="26"/>
      <c r="J997" s="26"/>
      <c r="K997" s="27"/>
      <c r="L997" s="28"/>
      <c r="M997" s="29" t="str">
        <f t="shared" si="75"/>
        <v/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3252</v>
      </c>
      <c r="C998" s="44" t="s">
        <v>3253</v>
      </c>
      <c r="D998" s="42" t="s">
        <v>2235</v>
      </c>
      <c r="E998" s="46"/>
      <c r="F998" s="26"/>
      <c r="G998" s="26"/>
      <c r="H998" s="26"/>
      <c r="I998" s="26"/>
      <c r="J998" s="26"/>
      <c r="K998" s="27"/>
      <c r="L998" s="28"/>
      <c r="M998" s="29" t="str">
        <f t="shared" si="75"/>
        <v/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3254</v>
      </c>
      <c r="C999" s="25" t="s">
        <v>3255</v>
      </c>
      <c r="D999" s="23" t="s">
        <v>2235</v>
      </c>
      <c r="E999" s="46"/>
      <c r="F999" s="26"/>
      <c r="G999" s="26"/>
      <c r="H999" s="26"/>
      <c r="I999" s="26"/>
      <c r="J999" s="26"/>
      <c r="K999" s="27"/>
      <c r="L999" s="28"/>
      <c r="M999" s="29" t="str">
        <f t="shared" si="75"/>
        <v/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3256</v>
      </c>
      <c r="C1000" s="44" t="s">
        <v>3257</v>
      </c>
      <c r="D1000" s="42" t="s">
        <v>2235</v>
      </c>
      <c r="E1000" s="46"/>
      <c r="F1000" s="26"/>
      <c r="G1000" s="26"/>
      <c r="H1000" s="26"/>
      <c r="I1000" s="26"/>
      <c r="J1000" s="26"/>
      <c r="K1000" s="27"/>
      <c r="L1000" s="28"/>
      <c r="M1000" s="29" t="str">
        <f t="shared" si="75"/>
        <v/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3258</v>
      </c>
      <c r="C1001" s="25" t="s">
        <v>3259</v>
      </c>
      <c r="D1001" s="23" t="s">
        <v>2235</v>
      </c>
      <c r="E1001" s="46"/>
      <c r="F1001" s="26"/>
      <c r="G1001" s="26"/>
      <c r="H1001" s="26"/>
      <c r="I1001" s="26"/>
      <c r="J1001" s="26"/>
      <c r="K1001" s="27"/>
      <c r="L1001" s="28"/>
      <c r="M1001" s="29" t="str">
        <f t="shared" si="75"/>
        <v/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3260</v>
      </c>
      <c r="C1002" s="44" t="s">
        <v>3261</v>
      </c>
      <c r="D1002" s="42" t="s">
        <v>2235</v>
      </c>
      <c r="E1002" s="46"/>
      <c r="F1002" s="26"/>
      <c r="G1002" s="26"/>
      <c r="H1002" s="26"/>
      <c r="I1002" s="26"/>
      <c r="J1002" s="26"/>
      <c r="K1002" s="27"/>
      <c r="L1002" s="28"/>
      <c r="M1002" s="29" t="str">
        <f t="shared" si="75"/>
        <v/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3262</v>
      </c>
      <c r="C1003" s="25" t="s">
        <v>3263</v>
      </c>
      <c r="D1003" s="23" t="s">
        <v>2235</v>
      </c>
      <c r="E1003" s="46"/>
      <c r="F1003" s="26"/>
      <c r="G1003" s="26"/>
      <c r="H1003" s="26"/>
      <c r="I1003" s="26"/>
      <c r="J1003" s="26"/>
      <c r="K1003" s="27"/>
      <c r="L1003" s="28"/>
      <c r="M1003" s="29" t="str">
        <f t="shared" si="75"/>
        <v/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3264</v>
      </c>
      <c r="C1004" s="44" t="s">
        <v>3265</v>
      </c>
      <c r="D1004" s="42" t="s">
        <v>2235</v>
      </c>
      <c r="E1004" s="46"/>
      <c r="F1004" s="26"/>
      <c r="G1004" s="26"/>
      <c r="H1004" s="26"/>
      <c r="I1004" s="26"/>
      <c r="J1004" s="26"/>
      <c r="K1004" s="27"/>
      <c r="L1004" s="28"/>
      <c r="M1004" s="29" t="str">
        <f t="shared" si="75"/>
        <v/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3266</v>
      </c>
      <c r="C1005" s="25" t="s">
        <v>3267</v>
      </c>
      <c r="D1005" s="23" t="s">
        <v>2235</v>
      </c>
      <c r="E1005" s="46"/>
      <c r="F1005" s="26"/>
      <c r="G1005" s="26"/>
      <c r="H1005" s="26"/>
      <c r="I1005" s="26"/>
      <c r="J1005" s="26"/>
      <c r="K1005" s="27"/>
      <c r="L1005" s="28"/>
      <c r="M1005" s="29" t="str">
        <f t="shared" si="75"/>
        <v/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3268</v>
      </c>
      <c r="C1006" s="44" t="s">
        <v>3269</v>
      </c>
      <c r="D1006" s="42" t="s">
        <v>2235</v>
      </c>
      <c r="E1006" s="46"/>
      <c r="F1006" s="26"/>
      <c r="G1006" s="26"/>
      <c r="H1006" s="26"/>
      <c r="I1006" s="26"/>
      <c r="J1006" s="26"/>
      <c r="K1006" s="27"/>
      <c r="L1006" s="28"/>
      <c r="M1006" s="29" t="str">
        <f t="shared" si="75"/>
        <v/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3270</v>
      </c>
      <c r="C1007" s="25" t="s">
        <v>3271</v>
      </c>
      <c r="D1007" s="23" t="s">
        <v>2235</v>
      </c>
      <c r="E1007" s="46"/>
      <c r="F1007" s="26"/>
      <c r="G1007" s="26"/>
      <c r="H1007" s="26"/>
      <c r="I1007" s="26"/>
      <c r="J1007" s="26"/>
      <c r="K1007" s="27"/>
      <c r="L1007" s="28"/>
      <c r="M1007" s="29" t="str">
        <f t="shared" si="75"/>
        <v/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3272</v>
      </c>
      <c r="C1008" s="44" t="s">
        <v>3273</v>
      </c>
      <c r="D1008" s="42" t="s">
        <v>2235</v>
      </c>
      <c r="E1008" s="46"/>
      <c r="F1008" s="26"/>
      <c r="G1008" s="26"/>
      <c r="H1008" s="26"/>
      <c r="I1008" s="26"/>
      <c r="J1008" s="26"/>
      <c r="K1008" s="27"/>
      <c r="L1008" s="28"/>
      <c r="M1008" s="29" t="str">
        <f t="shared" si="75"/>
        <v/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3274</v>
      </c>
      <c r="C1009" s="25" t="s">
        <v>3275</v>
      </c>
      <c r="D1009" s="23" t="s">
        <v>2235</v>
      </c>
      <c r="E1009" s="46"/>
      <c r="F1009" s="26"/>
      <c r="G1009" s="26"/>
      <c r="H1009" s="26"/>
      <c r="I1009" s="26"/>
      <c r="J1009" s="26"/>
      <c r="K1009" s="27"/>
      <c r="L1009" s="28"/>
      <c r="M1009" s="29" t="str">
        <f t="shared" si="75"/>
        <v/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3276</v>
      </c>
      <c r="C1010" s="44" t="s">
        <v>3277</v>
      </c>
      <c r="D1010" s="42" t="s">
        <v>2235</v>
      </c>
      <c r="E1010" s="46"/>
      <c r="F1010" s="26"/>
      <c r="G1010" s="26"/>
      <c r="H1010" s="26"/>
      <c r="I1010" s="26"/>
      <c r="J1010" s="26"/>
      <c r="K1010" s="27"/>
      <c r="L1010" s="28"/>
      <c r="M1010" s="29" t="str">
        <f t="shared" si="75"/>
        <v/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3278</v>
      </c>
      <c r="C1011" s="25" t="s">
        <v>3279</v>
      </c>
      <c r="D1011" s="23" t="s">
        <v>2235</v>
      </c>
      <c r="E1011" s="46"/>
      <c r="F1011" s="26"/>
      <c r="G1011" s="26"/>
      <c r="H1011" s="26"/>
      <c r="I1011" s="26"/>
      <c r="J1011" s="26"/>
      <c r="K1011" s="27"/>
      <c r="L1011" s="28"/>
      <c r="M1011" s="29" t="str">
        <f t="shared" si="75"/>
        <v/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3280</v>
      </c>
      <c r="C1012" s="44" t="s">
        <v>3281</v>
      </c>
      <c r="D1012" s="42" t="s">
        <v>2235</v>
      </c>
      <c r="E1012" s="46"/>
      <c r="F1012" s="26"/>
      <c r="G1012" s="26"/>
      <c r="H1012" s="26"/>
      <c r="I1012" s="26"/>
      <c r="J1012" s="26"/>
      <c r="K1012" s="27"/>
      <c r="L1012" s="28"/>
      <c r="M1012" s="29" t="str">
        <f t="shared" si="75"/>
        <v/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3282</v>
      </c>
      <c r="C1013" s="25" t="s">
        <v>3283</v>
      </c>
      <c r="D1013" s="23" t="s">
        <v>2235</v>
      </c>
      <c r="E1013" s="46"/>
      <c r="F1013" s="26"/>
      <c r="G1013" s="26"/>
      <c r="H1013" s="26"/>
      <c r="I1013" s="26"/>
      <c r="J1013" s="26"/>
      <c r="K1013" s="27"/>
      <c r="L1013" s="28"/>
      <c r="M1013" s="29" t="str">
        <f t="shared" si="75"/>
        <v/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3284</v>
      </c>
      <c r="C1014" s="44" t="s">
        <v>3285</v>
      </c>
      <c r="D1014" s="42" t="s">
        <v>2235</v>
      </c>
      <c r="E1014" s="46"/>
      <c r="F1014" s="26"/>
      <c r="G1014" s="26"/>
      <c r="H1014" s="26"/>
      <c r="I1014" s="26"/>
      <c r="J1014" s="26"/>
      <c r="K1014" s="27"/>
      <c r="L1014" s="28"/>
      <c r="M1014" s="29" t="str">
        <f t="shared" si="75"/>
        <v/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3286</v>
      </c>
      <c r="C1015" s="25" t="s">
        <v>3287</v>
      </c>
      <c r="D1015" s="23" t="s">
        <v>2235</v>
      </c>
      <c r="E1015" s="46"/>
      <c r="F1015" s="26"/>
      <c r="G1015" s="26"/>
      <c r="H1015" s="26"/>
      <c r="I1015" s="26"/>
      <c r="J1015" s="26"/>
      <c r="K1015" s="27"/>
      <c r="L1015" s="28"/>
      <c r="M1015" s="29" t="str">
        <f t="shared" si="75"/>
        <v/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3288</v>
      </c>
      <c r="C1016" s="44" t="s">
        <v>3289</v>
      </c>
      <c r="D1016" s="42" t="s">
        <v>2235</v>
      </c>
      <c r="E1016" s="46"/>
      <c r="F1016" s="26"/>
      <c r="G1016" s="26"/>
      <c r="H1016" s="26"/>
      <c r="I1016" s="26"/>
      <c r="J1016" s="26"/>
      <c r="K1016" s="27"/>
      <c r="L1016" s="28"/>
      <c r="M1016" s="29" t="str">
        <f t="shared" si="75"/>
        <v/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3290</v>
      </c>
      <c r="C1017" s="25" t="s">
        <v>3291</v>
      </c>
      <c r="D1017" s="23" t="s">
        <v>2235</v>
      </c>
      <c r="E1017" s="46"/>
      <c r="F1017" s="26"/>
      <c r="G1017" s="26"/>
      <c r="H1017" s="26"/>
      <c r="I1017" s="26"/>
      <c r="J1017" s="26"/>
      <c r="K1017" s="27"/>
      <c r="L1017" s="28"/>
      <c r="M1017" s="29" t="str">
        <f t="shared" si="75"/>
        <v/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3292</v>
      </c>
      <c r="C1018" s="44" t="s">
        <v>3293</v>
      </c>
      <c r="D1018" s="42" t="s">
        <v>2235</v>
      </c>
      <c r="E1018" s="46"/>
      <c r="F1018" s="26"/>
      <c r="G1018" s="26"/>
      <c r="H1018" s="26"/>
      <c r="I1018" s="26"/>
      <c r="J1018" s="26"/>
      <c r="K1018" s="27"/>
      <c r="L1018" s="28"/>
      <c r="M1018" s="29" t="str">
        <f t="shared" si="75"/>
        <v/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3294</v>
      </c>
      <c r="C1019" s="25" t="s">
        <v>3295</v>
      </c>
      <c r="D1019" s="23" t="s">
        <v>2235</v>
      </c>
      <c r="E1019" s="46"/>
      <c r="F1019" s="26"/>
      <c r="G1019" s="26"/>
      <c r="H1019" s="26"/>
      <c r="I1019" s="26"/>
      <c r="J1019" s="26"/>
      <c r="K1019" s="27"/>
      <c r="L1019" s="28"/>
      <c r="M1019" s="29" t="str">
        <f t="shared" si="75"/>
        <v/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3296</v>
      </c>
      <c r="C1020" s="44" t="s">
        <v>3297</v>
      </c>
      <c r="D1020" s="42" t="s">
        <v>2235</v>
      </c>
      <c r="E1020" s="46"/>
      <c r="F1020" s="26"/>
      <c r="G1020" s="26"/>
      <c r="H1020" s="26"/>
      <c r="I1020" s="26"/>
      <c r="J1020" s="26"/>
      <c r="K1020" s="27"/>
      <c r="L1020" s="28"/>
      <c r="M1020" s="29" t="str">
        <f t="shared" si="75"/>
        <v/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3298</v>
      </c>
      <c r="C1021" s="25" t="s">
        <v>3299</v>
      </c>
      <c r="D1021" s="23" t="s">
        <v>2235</v>
      </c>
      <c r="E1021" s="46"/>
      <c r="F1021" s="26"/>
      <c r="G1021" s="26"/>
      <c r="H1021" s="26"/>
      <c r="I1021" s="26"/>
      <c r="J1021" s="26"/>
      <c r="K1021" s="27"/>
      <c r="L1021" s="28"/>
      <c r="M1021" s="29" t="str">
        <f t="shared" si="75"/>
        <v/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3300</v>
      </c>
      <c r="C1022" s="44" t="s">
        <v>3301</v>
      </c>
      <c r="D1022" s="42" t="s">
        <v>2235</v>
      </c>
      <c r="E1022" s="46"/>
      <c r="F1022" s="26"/>
      <c r="G1022" s="26"/>
      <c r="H1022" s="26"/>
      <c r="I1022" s="26"/>
      <c r="J1022" s="26"/>
      <c r="K1022" s="27"/>
      <c r="L1022" s="28"/>
      <c r="M1022" s="29" t="str">
        <f t="shared" si="75"/>
        <v/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3302</v>
      </c>
      <c r="C1023" s="25" t="s">
        <v>3303</v>
      </c>
      <c r="D1023" s="23" t="s">
        <v>2235</v>
      </c>
      <c r="E1023" s="46"/>
      <c r="F1023" s="26"/>
      <c r="G1023" s="26"/>
      <c r="H1023" s="26"/>
      <c r="I1023" s="26"/>
      <c r="J1023" s="26"/>
      <c r="K1023" s="27"/>
      <c r="L1023" s="28"/>
      <c r="M1023" s="29" t="str">
        <f t="shared" si="75"/>
        <v/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3304</v>
      </c>
      <c r="C1024" s="44" t="s">
        <v>3305</v>
      </c>
      <c r="D1024" s="42" t="s">
        <v>2235</v>
      </c>
      <c r="E1024" s="46"/>
      <c r="F1024" s="26"/>
      <c r="G1024" s="26"/>
      <c r="H1024" s="26"/>
      <c r="I1024" s="26"/>
      <c r="J1024" s="26"/>
      <c r="K1024" s="27"/>
      <c r="L1024" s="28"/>
      <c r="M1024" s="29" t="str">
        <f t="shared" si="75"/>
        <v/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3306</v>
      </c>
      <c r="C1025" s="25" t="s">
        <v>3307</v>
      </c>
      <c r="D1025" s="23" t="s">
        <v>2235</v>
      </c>
      <c r="E1025" s="46"/>
      <c r="F1025" s="26"/>
      <c r="G1025" s="26"/>
      <c r="H1025" s="26"/>
      <c r="I1025" s="26"/>
      <c r="J1025" s="26"/>
      <c r="K1025" s="27"/>
      <c r="L1025" s="28"/>
      <c r="M1025" s="29" t="str">
        <f t="shared" si="75"/>
        <v/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3308</v>
      </c>
      <c r="C1026" s="44" t="s">
        <v>3309</v>
      </c>
      <c r="D1026" s="42" t="s">
        <v>2235</v>
      </c>
      <c r="E1026" s="46"/>
      <c r="F1026" s="26"/>
      <c r="G1026" s="26"/>
      <c r="H1026" s="26"/>
      <c r="I1026" s="26"/>
      <c r="J1026" s="26"/>
      <c r="K1026" s="27"/>
      <c r="L1026" s="28"/>
      <c r="M1026" s="29" t="str">
        <f t="shared" si="75"/>
        <v/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3310</v>
      </c>
      <c r="C1027" s="25" t="s">
        <v>3311</v>
      </c>
      <c r="D1027" s="23" t="s">
        <v>2235</v>
      </c>
      <c r="E1027" s="46"/>
      <c r="F1027" s="26"/>
      <c r="G1027" s="26"/>
      <c r="H1027" s="26"/>
      <c r="I1027" s="26"/>
      <c r="J1027" s="26"/>
      <c r="K1027" s="27"/>
      <c r="L1027" s="28"/>
      <c r="M1027" s="29" t="str">
        <f t="shared" si="75"/>
        <v/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3312</v>
      </c>
      <c r="C1028" s="44" t="s">
        <v>3313</v>
      </c>
      <c r="D1028" s="42" t="s">
        <v>2235</v>
      </c>
      <c r="E1028" s="46"/>
      <c r="F1028" s="26"/>
      <c r="G1028" s="26"/>
      <c r="H1028" s="26"/>
      <c r="I1028" s="26"/>
      <c r="J1028" s="26"/>
      <c r="K1028" s="27"/>
      <c r="L1028" s="28"/>
      <c r="M1028" s="29" t="str">
        <f t="shared" si="75"/>
        <v/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3314</v>
      </c>
      <c r="C1029" s="25" t="s">
        <v>3315</v>
      </c>
      <c r="D1029" s="23" t="s">
        <v>2235</v>
      </c>
      <c r="E1029" s="46"/>
      <c r="F1029" s="26"/>
      <c r="G1029" s="26"/>
      <c r="H1029" s="26"/>
      <c r="I1029" s="26"/>
      <c r="J1029" s="26"/>
      <c r="K1029" s="27"/>
      <c r="L1029" s="28"/>
      <c r="M1029" s="29" t="str">
        <f t="shared" ref="M1029:M1092" si="80">IF(E1029="","",IF(H1029="Yes","❌ Disc",IF(G1029="No","⚠ Missing",IF(J1029="Yes","✓ OK","⚠ Check"))))</f>
        <v/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3316</v>
      </c>
      <c r="C1030" s="44" t="s">
        <v>3317</v>
      </c>
      <c r="D1030" s="42" t="s">
        <v>2235</v>
      </c>
      <c r="E1030" s="46"/>
      <c r="F1030" s="26"/>
      <c r="G1030" s="26"/>
      <c r="H1030" s="26"/>
      <c r="I1030" s="26"/>
      <c r="J1030" s="26"/>
      <c r="K1030" s="27"/>
      <c r="L1030" s="28"/>
      <c r="M1030" s="29" t="str">
        <f t="shared" si="80"/>
        <v/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3318</v>
      </c>
      <c r="C1031" s="25" t="s">
        <v>3319</v>
      </c>
      <c r="D1031" s="23" t="s">
        <v>2235</v>
      </c>
      <c r="E1031" s="46"/>
      <c r="F1031" s="26"/>
      <c r="G1031" s="26"/>
      <c r="H1031" s="26"/>
      <c r="I1031" s="26"/>
      <c r="J1031" s="26"/>
      <c r="K1031" s="27"/>
      <c r="L1031" s="28"/>
      <c r="M1031" s="29" t="str">
        <f t="shared" si="80"/>
        <v/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3320</v>
      </c>
      <c r="C1032" s="44" t="s">
        <v>3321</v>
      </c>
      <c r="D1032" s="42" t="s">
        <v>2235</v>
      </c>
      <c r="E1032" s="46"/>
      <c r="F1032" s="26"/>
      <c r="G1032" s="26"/>
      <c r="H1032" s="26"/>
      <c r="I1032" s="26"/>
      <c r="J1032" s="26"/>
      <c r="K1032" s="27"/>
      <c r="L1032" s="28"/>
      <c r="M1032" s="29" t="str">
        <f t="shared" si="80"/>
        <v/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3322</v>
      </c>
      <c r="C1033" s="25" t="s">
        <v>3323</v>
      </c>
      <c r="D1033" s="23" t="s">
        <v>2235</v>
      </c>
      <c r="E1033" s="46"/>
      <c r="F1033" s="26"/>
      <c r="G1033" s="26"/>
      <c r="H1033" s="26"/>
      <c r="I1033" s="26"/>
      <c r="J1033" s="26"/>
      <c r="K1033" s="27"/>
      <c r="L1033" s="28"/>
      <c r="M1033" s="29" t="str">
        <f t="shared" si="80"/>
        <v/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3324</v>
      </c>
      <c r="C1034" s="44" t="s">
        <v>3325</v>
      </c>
      <c r="D1034" s="42" t="s">
        <v>2235</v>
      </c>
      <c r="E1034" s="46"/>
      <c r="F1034" s="26"/>
      <c r="G1034" s="26"/>
      <c r="H1034" s="26"/>
      <c r="I1034" s="26"/>
      <c r="J1034" s="26"/>
      <c r="K1034" s="27"/>
      <c r="L1034" s="28"/>
      <c r="M1034" s="29" t="str">
        <f t="shared" si="80"/>
        <v/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3326</v>
      </c>
      <c r="C1035" s="25" t="s">
        <v>3327</v>
      </c>
      <c r="D1035" s="23" t="s">
        <v>2235</v>
      </c>
      <c r="E1035" s="46"/>
      <c r="F1035" s="26"/>
      <c r="G1035" s="26"/>
      <c r="H1035" s="26"/>
      <c r="I1035" s="26"/>
      <c r="J1035" s="26"/>
      <c r="K1035" s="27"/>
      <c r="L1035" s="28"/>
      <c r="M1035" s="29" t="str">
        <f t="shared" si="80"/>
        <v/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3328</v>
      </c>
      <c r="C1036" s="44" t="s">
        <v>3329</v>
      </c>
      <c r="D1036" s="42" t="s">
        <v>2235</v>
      </c>
      <c r="E1036" s="46"/>
      <c r="F1036" s="26"/>
      <c r="G1036" s="26"/>
      <c r="H1036" s="26"/>
      <c r="I1036" s="26"/>
      <c r="J1036" s="26"/>
      <c r="K1036" s="27"/>
      <c r="L1036" s="28"/>
      <c r="M1036" s="29" t="str">
        <f t="shared" si="80"/>
        <v/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3330</v>
      </c>
      <c r="C1037" s="25" t="s">
        <v>3331</v>
      </c>
      <c r="D1037" s="23" t="s">
        <v>2235</v>
      </c>
      <c r="E1037" s="46"/>
      <c r="F1037" s="26"/>
      <c r="G1037" s="26"/>
      <c r="H1037" s="26"/>
      <c r="I1037" s="26"/>
      <c r="J1037" s="26"/>
      <c r="K1037" s="27"/>
      <c r="L1037" s="28"/>
      <c r="M1037" s="29" t="str">
        <f t="shared" si="80"/>
        <v/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3332</v>
      </c>
      <c r="C1038" s="44" t="s">
        <v>3333</v>
      </c>
      <c r="D1038" s="42" t="s">
        <v>2235</v>
      </c>
      <c r="E1038" s="46"/>
      <c r="F1038" s="26"/>
      <c r="G1038" s="26"/>
      <c r="H1038" s="26"/>
      <c r="I1038" s="26"/>
      <c r="J1038" s="26"/>
      <c r="K1038" s="27"/>
      <c r="L1038" s="28"/>
      <c r="M1038" s="29" t="str">
        <f t="shared" si="80"/>
        <v/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3334</v>
      </c>
      <c r="C1039" s="25" t="s">
        <v>3335</v>
      </c>
      <c r="D1039" s="23" t="s">
        <v>2235</v>
      </c>
      <c r="E1039" s="46"/>
      <c r="F1039" s="26"/>
      <c r="G1039" s="26"/>
      <c r="H1039" s="26"/>
      <c r="I1039" s="26"/>
      <c r="J1039" s="26"/>
      <c r="K1039" s="27"/>
      <c r="L1039" s="28"/>
      <c r="M1039" s="29" t="str">
        <f t="shared" si="80"/>
        <v/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3336</v>
      </c>
      <c r="C1040" s="44" t="s">
        <v>3337</v>
      </c>
      <c r="D1040" s="42" t="s">
        <v>2235</v>
      </c>
      <c r="E1040" s="46"/>
      <c r="F1040" s="26"/>
      <c r="G1040" s="26"/>
      <c r="H1040" s="26"/>
      <c r="I1040" s="26"/>
      <c r="J1040" s="26"/>
      <c r="K1040" s="27"/>
      <c r="L1040" s="28"/>
      <c r="M1040" s="29" t="str">
        <f t="shared" si="80"/>
        <v/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3338</v>
      </c>
      <c r="C1041" s="25" t="s">
        <v>3339</v>
      </c>
      <c r="D1041" s="23" t="s">
        <v>2235</v>
      </c>
      <c r="E1041" s="46"/>
      <c r="F1041" s="26"/>
      <c r="G1041" s="26"/>
      <c r="H1041" s="26"/>
      <c r="I1041" s="26"/>
      <c r="J1041" s="26"/>
      <c r="K1041" s="27"/>
      <c r="L1041" s="28"/>
      <c r="M1041" s="29" t="str">
        <f t="shared" si="80"/>
        <v/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3340</v>
      </c>
      <c r="C1042" s="44" t="s">
        <v>3341</v>
      </c>
      <c r="D1042" s="42" t="s">
        <v>2235</v>
      </c>
      <c r="E1042" s="46"/>
      <c r="F1042" s="26"/>
      <c r="G1042" s="26"/>
      <c r="H1042" s="26"/>
      <c r="I1042" s="26"/>
      <c r="J1042" s="26"/>
      <c r="K1042" s="27"/>
      <c r="L1042" s="28"/>
      <c r="M1042" s="29" t="str">
        <f t="shared" si="80"/>
        <v/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3342</v>
      </c>
      <c r="C1043" s="25" t="s">
        <v>3343</v>
      </c>
      <c r="D1043" s="23" t="s">
        <v>2235</v>
      </c>
      <c r="E1043" s="46"/>
      <c r="F1043" s="26"/>
      <c r="G1043" s="26"/>
      <c r="H1043" s="26"/>
      <c r="I1043" s="26"/>
      <c r="J1043" s="26"/>
      <c r="K1043" s="27"/>
      <c r="L1043" s="28"/>
      <c r="M1043" s="29" t="str">
        <f t="shared" si="80"/>
        <v/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3344</v>
      </c>
      <c r="C1044" s="44" t="s">
        <v>3345</v>
      </c>
      <c r="D1044" s="42" t="s">
        <v>2235</v>
      </c>
      <c r="E1044" s="46"/>
      <c r="F1044" s="26"/>
      <c r="G1044" s="26"/>
      <c r="H1044" s="26"/>
      <c r="I1044" s="26"/>
      <c r="J1044" s="26"/>
      <c r="K1044" s="27"/>
      <c r="L1044" s="28"/>
      <c r="M1044" s="29" t="str">
        <f t="shared" si="80"/>
        <v/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3346</v>
      </c>
      <c r="C1045" s="25" t="s">
        <v>3347</v>
      </c>
      <c r="D1045" s="23" t="s">
        <v>2235</v>
      </c>
      <c r="E1045" s="46"/>
      <c r="F1045" s="26"/>
      <c r="G1045" s="26"/>
      <c r="H1045" s="26"/>
      <c r="I1045" s="26"/>
      <c r="J1045" s="26"/>
      <c r="K1045" s="27"/>
      <c r="L1045" s="28"/>
      <c r="M1045" s="29" t="str">
        <f t="shared" si="80"/>
        <v/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3348</v>
      </c>
      <c r="C1046" s="44" t="s">
        <v>3349</v>
      </c>
      <c r="D1046" s="42" t="s">
        <v>2235</v>
      </c>
      <c r="E1046" s="46"/>
      <c r="F1046" s="26"/>
      <c r="G1046" s="26"/>
      <c r="H1046" s="26"/>
      <c r="I1046" s="26"/>
      <c r="J1046" s="26"/>
      <c r="K1046" s="27"/>
      <c r="L1046" s="28"/>
      <c r="M1046" s="29" t="str">
        <f t="shared" si="80"/>
        <v/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3350</v>
      </c>
      <c r="C1047" s="25" t="s">
        <v>3351</v>
      </c>
      <c r="D1047" s="23" t="s">
        <v>2235</v>
      </c>
      <c r="E1047" s="46"/>
      <c r="F1047" s="26"/>
      <c r="G1047" s="26"/>
      <c r="H1047" s="26"/>
      <c r="I1047" s="26"/>
      <c r="J1047" s="26"/>
      <c r="K1047" s="27"/>
      <c r="L1047" s="28"/>
      <c r="M1047" s="29" t="str">
        <f t="shared" si="80"/>
        <v/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3352</v>
      </c>
      <c r="C1048" s="44" t="s">
        <v>3353</v>
      </c>
      <c r="D1048" s="42" t="s">
        <v>2235</v>
      </c>
      <c r="E1048" s="46"/>
      <c r="F1048" s="26"/>
      <c r="G1048" s="26"/>
      <c r="H1048" s="26"/>
      <c r="I1048" s="26"/>
      <c r="J1048" s="26"/>
      <c r="K1048" s="27"/>
      <c r="L1048" s="28"/>
      <c r="M1048" s="29" t="str">
        <f t="shared" si="80"/>
        <v/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3354</v>
      </c>
      <c r="C1049" s="25" t="s">
        <v>3355</v>
      </c>
      <c r="D1049" s="23" t="s">
        <v>2235</v>
      </c>
      <c r="E1049" s="46"/>
      <c r="F1049" s="26"/>
      <c r="G1049" s="26"/>
      <c r="H1049" s="26"/>
      <c r="I1049" s="26"/>
      <c r="J1049" s="26"/>
      <c r="K1049" s="27"/>
      <c r="L1049" s="28"/>
      <c r="M1049" s="29" t="str">
        <f t="shared" si="80"/>
        <v/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3356</v>
      </c>
      <c r="C1050" s="44" t="s">
        <v>3357</v>
      </c>
      <c r="D1050" s="42" t="s">
        <v>2235</v>
      </c>
      <c r="E1050" s="46"/>
      <c r="F1050" s="26"/>
      <c r="G1050" s="26"/>
      <c r="H1050" s="26"/>
      <c r="I1050" s="26"/>
      <c r="J1050" s="26"/>
      <c r="K1050" s="27"/>
      <c r="L1050" s="28"/>
      <c r="M1050" s="29" t="str">
        <f t="shared" si="80"/>
        <v/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3358</v>
      </c>
      <c r="C1051" s="25" t="s">
        <v>3359</v>
      </c>
      <c r="D1051" s="23" t="s">
        <v>2235</v>
      </c>
      <c r="E1051" s="46"/>
      <c r="F1051" s="26"/>
      <c r="G1051" s="26"/>
      <c r="H1051" s="26"/>
      <c r="I1051" s="26"/>
      <c r="J1051" s="26"/>
      <c r="K1051" s="27"/>
      <c r="L1051" s="28"/>
      <c r="M1051" s="29" t="str">
        <f t="shared" si="80"/>
        <v/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3360</v>
      </c>
      <c r="C1052" s="44" t="s">
        <v>3361</v>
      </c>
      <c r="D1052" s="42" t="s">
        <v>2235</v>
      </c>
      <c r="E1052" s="46"/>
      <c r="F1052" s="26"/>
      <c r="G1052" s="26"/>
      <c r="H1052" s="26"/>
      <c r="I1052" s="26"/>
      <c r="J1052" s="26"/>
      <c r="K1052" s="27"/>
      <c r="L1052" s="28"/>
      <c r="M1052" s="29" t="str">
        <f t="shared" si="80"/>
        <v/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3362</v>
      </c>
      <c r="C1053" s="25" t="s">
        <v>3363</v>
      </c>
      <c r="D1053" s="23" t="s">
        <v>2235</v>
      </c>
      <c r="E1053" s="46"/>
      <c r="F1053" s="26"/>
      <c r="G1053" s="26"/>
      <c r="H1053" s="26"/>
      <c r="I1053" s="26"/>
      <c r="J1053" s="26"/>
      <c r="K1053" s="27"/>
      <c r="L1053" s="28"/>
      <c r="M1053" s="29" t="str">
        <f t="shared" si="80"/>
        <v/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3364</v>
      </c>
      <c r="C1054" s="44" t="s">
        <v>3365</v>
      </c>
      <c r="D1054" s="42" t="s">
        <v>2235</v>
      </c>
      <c r="E1054" s="46"/>
      <c r="F1054" s="26"/>
      <c r="G1054" s="26"/>
      <c r="H1054" s="26"/>
      <c r="I1054" s="26"/>
      <c r="J1054" s="26"/>
      <c r="K1054" s="27"/>
      <c r="L1054" s="28"/>
      <c r="M1054" s="29" t="str">
        <f t="shared" si="80"/>
        <v/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3366</v>
      </c>
      <c r="C1055" s="25" t="s">
        <v>3367</v>
      </c>
      <c r="D1055" s="23" t="s">
        <v>2235</v>
      </c>
      <c r="E1055" s="46"/>
      <c r="F1055" s="26"/>
      <c r="G1055" s="26"/>
      <c r="H1055" s="26"/>
      <c r="I1055" s="26"/>
      <c r="J1055" s="26"/>
      <c r="K1055" s="27"/>
      <c r="L1055" s="28"/>
      <c r="M1055" s="29" t="str">
        <f t="shared" si="80"/>
        <v/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3368</v>
      </c>
      <c r="C1056" s="44" t="s">
        <v>3369</v>
      </c>
      <c r="D1056" s="42" t="s">
        <v>2235</v>
      </c>
      <c r="E1056" s="46"/>
      <c r="F1056" s="26"/>
      <c r="G1056" s="26"/>
      <c r="H1056" s="26"/>
      <c r="I1056" s="26"/>
      <c r="J1056" s="26"/>
      <c r="K1056" s="27"/>
      <c r="L1056" s="28"/>
      <c r="M1056" s="29" t="str">
        <f t="shared" si="80"/>
        <v/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3370</v>
      </c>
      <c r="C1057" s="25" t="s">
        <v>3371</v>
      </c>
      <c r="D1057" s="23" t="s">
        <v>2235</v>
      </c>
      <c r="E1057" s="46"/>
      <c r="F1057" s="26"/>
      <c r="G1057" s="26"/>
      <c r="H1057" s="26"/>
      <c r="I1057" s="26"/>
      <c r="J1057" s="26"/>
      <c r="K1057" s="27"/>
      <c r="L1057" s="28"/>
      <c r="M1057" s="29" t="str">
        <f t="shared" si="80"/>
        <v/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3372</v>
      </c>
      <c r="C1058" s="44" t="s">
        <v>3373</v>
      </c>
      <c r="D1058" s="42" t="s">
        <v>2235</v>
      </c>
      <c r="E1058" s="46"/>
      <c r="F1058" s="26"/>
      <c r="G1058" s="26"/>
      <c r="H1058" s="26"/>
      <c r="I1058" s="26"/>
      <c r="J1058" s="26"/>
      <c r="K1058" s="27"/>
      <c r="L1058" s="28"/>
      <c r="M1058" s="29" t="str">
        <f t="shared" si="80"/>
        <v/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3374</v>
      </c>
      <c r="C1059" s="25" t="s">
        <v>3375</v>
      </c>
      <c r="D1059" s="23" t="s">
        <v>2235</v>
      </c>
      <c r="E1059" s="46"/>
      <c r="F1059" s="26"/>
      <c r="G1059" s="26"/>
      <c r="H1059" s="26"/>
      <c r="I1059" s="26"/>
      <c r="J1059" s="26"/>
      <c r="K1059" s="27"/>
      <c r="L1059" s="28"/>
      <c r="M1059" s="29" t="str">
        <f t="shared" si="80"/>
        <v/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3376</v>
      </c>
      <c r="C1060" s="44" t="s">
        <v>3377</v>
      </c>
      <c r="D1060" s="42" t="s">
        <v>2235</v>
      </c>
      <c r="E1060" s="46"/>
      <c r="F1060" s="26"/>
      <c r="G1060" s="26"/>
      <c r="H1060" s="26"/>
      <c r="I1060" s="26"/>
      <c r="J1060" s="26"/>
      <c r="K1060" s="27"/>
      <c r="L1060" s="28"/>
      <c r="M1060" s="29" t="str">
        <f t="shared" si="80"/>
        <v/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3378</v>
      </c>
      <c r="C1061" s="25" t="s">
        <v>3379</v>
      </c>
      <c r="D1061" s="23" t="s">
        <v>2235</v>
      </c>
      <c r="E1061" s="46"/>
      <c r="F1061" s="26"/>
      <c r="G1061" s="26"/>
      <c r="H1061" s="26"/>
      <c r="I1061" s="26"/>
      <c r="J1061" s="26"/>
      <c r="K1061" s="27"/>
      <c r="L1061" s="28"/>
      <c r="M1061" s="29" t="str">
        <f t="shared" si="80"/>
        <v/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3380</v>
      </c>
      <c r="C1062" s="44" t="s">
        <v>3381</v>
      </c>
      <c r="D1062" s="42" t="s">
        <v>2235</v>
      </c>
      <c r="E1062" s="46"/>
      <c r="F1062" s="26"/>
      <c r="G1062" s="26"/>
      <c r="H1062" s="26"/>
      <c r="I1062" s="26"/>
      <c r="J1062" s="26"/>
      <c r="K1062" s="27"/>
      <c r="L1062" s="28"/>
      <c r="M1062" s="29" t="str">
        <f t="shared" si="80"/>
        <v/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3382</v>
      </c>
      <c r="C1063" s="25" t="s">
        <v>3383</v>
      </c>
      <c r="D1063" s="23" t="s">
        <v>2235</v>
      </c>
      <c r="E1063" s="46"/>
      <c r="F1063" s="26"/>
      <c r="G1063" s="26"/>
      <c r="H1063" s="26"/>
      <c r="I1063" s="26"/>
      <c r="J1063" s="26"/>
      <c r="K1063" s="27"/>
      <c r="L1063" s="28"/>
      <c r="M1063" s="29" t="str">
        <f t="shared" si="80"/>
        <v/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3384</v>
      </c>
      <c r="C1064" s="44" t="s">
        <v>3385</v>
      </c>
      <c r="D1064" s="42" t="s">
        <v>2235</v>
      </c>
      <c r="E1064" s="46"/>
      <c r="F1064" s="26"/>
      <c r="G1064" s="26"/>
      <c r="H1064" s="26"/>
      <c r="I1064" s="26"/>
      <c r="J1064" s="26"/>
      <c r="K1064" s="27"/>
      <c r="L1064" s="28"/>
      <c r="M1064" s="29" t="str">
        <f t="shared" si="80"/>
        <v/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3386</v>
      </c>
      <c r="C1065" s="25" t="s">
        <v>3387</v>
      </c>
      <c r="D1065" s="23" t="s">
        <v>2235</v>
      </c>
      <c r="E1065" s="46"/>
      <c r="F1065" s="26"/>
      <c r="G1065" s="26"/>
      <c r="H1065" s="26"/>
      <c r="I1065" s="26"/>
      <c r="J1065" s="26"/>
      <c r="K1065" s="27"/>
      <c r="L1065" s="28"/>
      <c r="M1065" s="29" t="str">
        <f t="shared" si="80"/>
        <v/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3388</v>
      </c>
      <c r="C1066" s="44" t="s">
        <v>3389</v>
      </c>
      <c r="D1066" s="42" t="s">
        <v>2235</v>
      </c>
      <c r="E1066" s="46"/>
      <c r="F1066" s="26"/>
      <c r="G1066" s="26"/>
      <c r="H1066" s="26"/>
      <c r="I1066" s="26"/>
      <c r="J1066" s="26"/>
      <c r="K1066" s="27"/>
      <c r="L1066" s="28"/>
      <c r="M1066" s="29" t="str">
        <f t="shared" si="80"/>
        <v/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3390</v>
      </c>
      <c r="C1067" s="25" t="s">
        <v>3391</v>
      </c>
      <c r="D1067" s="23" t="s">
        <v>2235</v>
      </c>
      <c r="E1067" s="46"/>
      <c r="F1067" s="26"/>
      <c r="G1067" s="26"/>
      <c r="H1067" s="26"/>
      <c r="I1067" s="26"/>
      <c r="J1067" s="26"/>
      <c r="K1067" s="27"/>
      <c r="L1067" s="28"/>
      <c r="M1067" s="29" t="str">
        <f t="shared" si="80"/>
        <v/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3392</v>
      </c>
      <c r="C1068" s="44" t="s">
        <v>3393</v>
      </c>
      <c r="D1068" s="42" t="s">
        <v>2235</v>
      </c>
      <c r="E1068" s="46"/>
      <c r="F1068" s="26"/>
      <c r="G1068" s="26"/>
      <c r="H1068" s="26"/>
      <c r="I1068" s="26"/>
      <c r="J1068" s="26"/>
      <c r="K1068" s="27"/>
      <c r="L1068" s="28"/>
      <c r="M1068" s="29" t="str">
        <f t="shared" si="80"/>
        <v/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3394</v>
      </c>
      <c r="C1069" s="25" t="s">
        <v>3395</v>
      </c>
      <c r="D1069" s="23" t="s">
        <v>2235</v>
      </c>
      <c r="E1069" s="46"/>
      <c r="F1069" s="26"/>
      <c r="G1069" s="26"/>
      <c r="H1069" s="26"/>
      <c r="I1069" s="26"/>
      <c r="J1069" s="26"/>
      <c r="K1069" s="27"/>
      <c r="L1069" s="28"/>
      <c r="M1069" s="29" t="str">
        <f t="shared" si="80"/>
        <v/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3396</v>
      </c>
      <c r="C1070" s="44" t="s">
        <v>3397</v>
      </c>
      <c r="D1070" s="42" t="s">
        <v>2235</v>
      </c>
      <c r="E1070" s="46"/>
      <c r="F1070" s="26"/>
      <c r="G1070" s="26"/>
      <c r="H1070" s="26"/>
      <c r="I1070" s="26"/>
      <c r="J1070" s="26"/>
      <c r="K1070" s="27"/>
      <c r="L1070" s="28"/>
      <c r="M1070" s="29" t="str">
        <f t="shared" si="80"/>
        <v/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3398</v>
      </c>
      <c r="C1071" s="25" t="s">
        <v>3399</v>
      </c>
      <c r="D1071" s="23" t="s">
        <v>2235</v>
      </c>
      <c r="E1071" s="46"/>
      <c r="F1071" s="26"/>
      <c r="G1071" s="26"/>
      <c r="H1071" s="26"/>
      <c r="I1071" s="26"/>
      <c r="J1071" s="26"/>
      <c r="K1071" s="27"/>
      <c r="L1071" s="28"/>
      <c r="M1071" s="29" t="str">
        <f t="shared" si="80"/>
        <v/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3400</v>
      </c>
      <c r="C1072" s="44" t="s">
        <v>3401</v>
      </c>
      <c r="D1072" s="42" t="s">
        <v>2235</v>
      </c>
      <c r="E1072" s="46"/>
      <c r="F1072" s="26"/>
      <c r="G1072" s="26"/>
      <c r="H1072" s="26"/>
      <c r="I1072" s="26"/>
      <c r="J1072" s="26"/>
      <c r="K1072" s="27"/>
      <c r="L1072" s="28"/>
      <c r="M1072" s="29" t="str">
        <f t="shared" si="80"/>
        <v/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3402</v>
      </c>
      <c r="C1073" s="25" t="s">
        <v>3403</v>
      </c>
      <c r="D1073" s="23" t="s">
        <v>2235</v>
      </c>
      <c r="E1073" s="46"/>
      <c r="F1073" s="26"/>
      <c r="G1073" s="26"/>
      <c r="H1073" s="26"/>
      <c r="I1073" s="26"/>
      <c r="J1073" s="26"/>
      <c r="K1073" s="27"/>
      <c r="L1073" s="28"/>
      <c r="M1073" s="29" t="str">
        <f t="shared" si="80"/>
        <v/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3404</v>
      </c>
      <c r="C1074" s="44" t="s">
        <v>3405</v>
      </c>
      <c r="D1074" s="42" t="s">
        <v>2235</v>
      </c>
      <c r="E1074" s="46"/>
      <c r="F1074" s="26"/>
      <c r="G1074" s="26"/>
      <c r="H1074" s="26"/>
      <c r="I1074" s="26"/>
      <c r="J1074" s="26"/>
      <c r="K1074" s="27"/>
      <c r="L1074" s="28"/>
      <c r="M1074" s="29" t="str">
        <f t="shared" si="80"/>
        <v/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3406</v>
      </c>
      <c r="C1075" s="25" t="s">
        <v>3407</v>
      </c>
      <c r="D1075" s="23" t="s">
        <v>2235</v>
      </c>
      <c r="E1075" s="46"/>
      <c r="F1075" s="26"/>
      <c r="G1075" s="26"/>
      <c r="H1075" s="26"/>
      <c r="I1075" s="26"/>
      <c r="J1075" s="26"/>
      <c r="K1075" s="27"/>
      <c r="L1075" s="28"/>
      <c r="M1075" s="29" t="str">
        <f t="shared" si="80"/>
        <v/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3408</v>
      </c>
      <c r="C1076" s="44" t="s">
        <v>3409</v>
      </c>
      <c r="D1076" s="42" t="s">
        <v>2235</v>
      </c>
      <c r="E1076" s="46"/>
      <c r="F1076" s="26"/>
      <c r="G1076" s="26"/>
      <c r="H1076" s="26"/>
      <c r="I1076" s="26"/>
      <c r="J1076" s="26"/>
      <c r="K1076" s="27"/>
      <c r="L1076" s="28"/>
      <c r="M1076" s="29" t="str">
        <f t="shared" si="80"/>
        <v/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3410</v>
      </c>
      <c r="C1077" s="25" t="s">
        <v>3411</v>
      </c>
      <c r="D1077" s="23" t="s">
        <v>2235</v>
      </c>
      <c r="E1077" s="46"/>
      <c r="F1077" s="26"/>
      <c r="G1077" s="26"/>
      <c r="H1077" s="26"/>
      <c r="I1077" s="26"/>
      <c r="J1077" s="26"/>
      <c r="K1077" s="27"/>
      <c r="L1077" s="28"/>
      <c r="M1077" s="29" t="str">
        <f t="shared" si="80"/>
        <v/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3412</v>
      </c>
      <c r="C1078" s="44" t="s">
        <v>3413</v>
      </c>
      <c r="D1078" s="42" t="s">
        <v>2235</v>
      </c>
      <c r="E1078" s="46"/>
      <c r="F1078" s="26"/>
      <c r="G1078" s="26"/>
      <c r="H1078" s="26"/>
      <c r="I1078" s="26"/>
      <c r="J1078" s="26"/>
      <c r="K1078" s="27"/>
      <c r="L1078" s="28"/>
      <c r="M1078" s="29" t="str">
        <f t="shared" si="80"/>
        <v/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3414</v>
      </c>
      <c r="C1079" s="25" t="s">
        <v>3415</v>
      </c>
      <c r="D1079" s="23" t="s">
        <v>3416</v>
      </c>
      <c r="E1079" s="46">
        <v>46125</v>
      </c>
      <c r="F1079" s="26" t="s">
        <v>6222</v>
      </c>
      <c r="G1079" s="26" t="s">
        <v>6224</v>
      </c>
      <c r="H1079" s="26" t="s">
        <v>6223</v>
      </c>
      <c r="I1079" s="26" t="s">
        <v>6225</v>
      </c>
      <c r="J1079" s="26" t="s">
        <v>6224</v>
      </c>
      <c r="K1079" s="27"/>
      <c r="L1079" s="28" t="s">
        <v>6223</v>
      </c>
      <c r="M1079" s="29" t="str">
        <f t="shared" si="80"/>
        <v>✓ OK</v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3417</v>
      </c>
      <c r="C1080" s="44" t="s">
        <v>3418</v>
      </c>
      <c r="D1080" s="42" t="s">
        <v>3416</v>
      </c>
      <c r="E1080" s="46">
        <v>46125</v>
      </c>
      <c r="F1080" s="26" t="s">
        <v>6222</v>
      </c>
      <c r="G1080" s="26" t="s">
        <v>6224</v>
      </c>
      <c r="H1080" s="26" t="s">
        <v>6223</v>
      </c>
      <c r="I1080" s="26" t="s">
        <v>6225</v>
      </c>
      <c r="J1080" s="26" t="s">
        <v>6224</v>
      </c>
      <c r="K1080" s="27"/>
      <c r="L1080" s="28" t="s">
        <v>6223</v>
      </c>
      <c r="M1080" s="29" t="str">
        <f t="shared" si="80"/>
        <v>✓ OK</v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3419</v>
      </c>
      <c r="C1081" s="25" t="s">
        <v>3420</v>
      </c>
      <c r="D1081" s="23" t="s">
        <v>3416</v>
      </c>
      <c r="E1081" s="46">
        <v>46125</v>
      </c>
      <c r="F1081" s="26" t="s">
        <v>6222</v>
      </c>
      <c r="G1081" s="26" t="s">
        <v>6224</v>
      </c>
      <c r="H1081" s="26" t="s">
        <v>6223</v>
      </c>
      <c r="I1081" s="26" t="s">
        <v>6225</v>
      </c>
      <c r="J1081" s="26" t="s">
        <v>6224</v>
      </c>
      <c r="K1081" s="27"/>
      <c r="L1081" s="28" t="s">
        <v>6223</v>
      </c>
      <c r="M1081" s="29" t="str">
        <f t="shared" si="80"/>
        <v>✓ OK</v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3421</v>
      </c>
      <c r="C1082" s="44" t="s">
        <v>3422</v>
      </c>
      <c r="D1082" s="42" t="s">
        <v>3416</v>
      </c>
      <c r="E1082" s="46">
        <v>46125</v>
      </c>
      <c r="F1082" s="26" t="s">
        <v>6222</v>
      </c>
      <c r="G1082" s="26" t="s">
        <v>6224</v>
      </c>
      <c r="H1082" s="26" t="s">
        <v>6223</v>
      </c>
      <c r="I1082" s="26" t="s">
        <v>6225</v>
      </c>
      <c r="J1082" s="26" t="s">
        <v>6224</v>
      </c>
      <c r="K1082" s="27"/>
      <c r="L1082" s="28" t="s">
        <v>6223</v>
      </c>
      <c r="M1082" s="29" t="str">
        <f t="shared" si="80"/>
        <v>✓ OK</v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3423</v>
      </c>
      <c r="C1083" s="25" t="s">
        <v>3424</v>
      </c>
      <c r="D1083" s="23" t="s">
        <v>3416</v>
      </c>
      <c r="E1083" s="46">
        <v>46125</v>
      </c>
      <c r="F1083" s="26" t="s">
        <v>6222</v>
      </c>
      <c r="G1083" s="26" t="s">
        <v>6224</v>
      </c>
      <c r="H1083" s="26" t="s">
        <v>6223</v>
      </c>
      <c r="I1083" s="26" t="s">
        <v>6225</v>
      </c>
      <c r="J1083" s="26" t="s">
        <v>6224</v>
      </c>
      <c r="K1083" s="27"/>
      <c r="L1083" s="28" t="s">
        <v>6223</v>
      </c>
      <c r="M1083" s="29" t="str">
        <f t="shared" si="80"/>
        <v>✓ OK</v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3425</v>
      </c>
      <c r="C1084" s="44" t="s">
        <v>3426</v>
      </c>
      <c r="D1084" s="42" t="s">
        <v>3416</v>
      </c>
      <c r="E1084" s="46">
        <v>46125</v>
      </c>
      <c r="F1084" s="26" t="s">
        <v>6222</v>
      </c>
      <c r="G1084" s="26" t="s">
        <v>6224</v>
      </c>
      <c r="H1084" s="26" t="s">
        <v>6223</v>
      </c>
      <c r="I1084" s="26" t="s">
        <v>6225</v>
      </c>
      <c r="J1084" s="26" t="s">
        <v>6224</v>
      </c>
      <c r="K1084" s="27"/>
      <c r="L1084" s="28" t="s">
        <v>6223</v>
      </c>
      <c r="M1084" s="29" t="str">
        <f t="shared" si="80"/>
        <v>✓ OK</v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3427</v>
      </c>
      <c r="C1085" s="25" t="s">
        <v>3428</v>
      </c>
      <c r="D1085" s="23" t="s">
        <v>3416</v>
      </c>
      <c r="E1085" s="46">
        <v>46125</v>
      </c>
      <c r="F1085" s="26" t="s">
        <v>6222</v>
      </c>
      <c r="G1085" s="26" t="s">
        <v>6224</v>
      </c>
      <c r="H1085" s="26" t="s">
        <v>6223</v>
      </c>
      <c r="I1085" s="26" t="s">
        <v>6225</v>
      </c>
      <c r="J1085" s="26" t="s">
        <v>6224</v>
      </c>
      <c r="K1085" s="27"/>
      <c r="L1085" s="28" t="s">
        <v>6223</v>
      </c>
      <c r="M1085" s="29" t="str">
        <f t="shared" si="80"/>
        <v>✓ OK</v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3429</v>
      </c>
      <c r="C1086" s="44" t="s">
        <v>3430</v>
      </c>
      <c r="D1086" s="42" t="s">
        <v>3416</v>
      </c>
      <c r="E1086" s="46">
        <v>46125</v>
      </c>
      <c r="F1086" s="26" t="s">
        <v>6222</v>
      </c>
      <c r="G1086" s="26" t="s">
        <v>6224</v>
      </c>
      <c r="H1086" s="26" t="s">
        <v>6223</v>
      </c>
      <c r="I1086" s="26" t="s">
        <v>6225</v>
      </c>
      <c r="J1086" s="26" t="s">
        <v>6224</v>
      </c>
      <c r="K1086" s="27"/>
      <c r="L1086" s="28" t="s">
        <v>6223</v>
      </c>
      <c r="M1086" s="29" t="str">
        <f t="shared" si="80"/>
        <v>✓ OK</v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3431</v>
      </c>
      <c r="C1087" s="25" t="s">
        <v>3432</v>
      </c>
      <c r="D1087" s="23" t="s">
        <v>3416</v>
      </c>
      <c r="E1087" s="46">
        <v>46125</v>
      </c>
      <c r="F1087" s="26" t="s">
        <v>6222</v>
      </c>
      <c r="G1087" s="26" t="s">
        <v>6224</v>
      </c>
      <c r="H1087" s="26" t="s">
        <v>6223</v>
      </c>
      <c r="I1087" s="26" t="s">
        <v>6225</v>
      </c>
      <c r="J1087" s="26" t="s">
        <v>6224</v>
      </c>
      <c r="K1087" s="27"/>
      <c r="L1087" s="28" t="s">
        <v>6223</v>
      </c>
      <c r="M1087" s="29" t="str">
        <f t="shared" si="80"/>
        <v>✓ OK</v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3433</v>
      </c>
      <c r="C1088" s="44" t="s">
        <v>3434</v>
      </c>
      <c r="D1088" s="42" t="s">
        <v>3416</v>
      </c>
      <c r="E1088" s="46">
        <v>46125</v>
      </c>
      <c r="F1088" s="26" t="s">
        <v>6222</v>
      </c>
      <c r="G1088" s="26" t="s">
        <v>6224</v>
      </c>
      <c r="H1088" s="26" t="s">
        <v>6223</v>
      </c>
      <c r="I1088" s="26" t="s">
        <v>6225</v>
      </c>
      <c r="J1088" s="26" t="s">
        <v>6224</v>
      </c>
      <c r="K1088" s="27"/>
      <c r="L1088" s="28" t="s">
        <v>6223</v>
      </c>
      <c r="M1088" s="29" t="str">
        <f t="shared" si="80"/>
        <v>✓ OK</v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3435</v>
      </c>
      <c r="C1089" s="25" t="s">
        <v>3436</v>
      </c>
      <c r="D1089" s="23" t="s">
        <v>3416</v>
      </c>
      <c r="E1089" s="46">
        <v>46125</v>
      </c>
      <c r="F1089" s="26" t="s">
        <v>6222</v>
      </c>
      <c r="G1089" s="26" t="s">
        <v>6224</v>
      </c>
      <c r="H1089" s="26" t="s">
        <v>6223</v>
      </c>
      <c r="I1089" s="26" t="s">
        <v>6225</v>
      </c>
      <c r="J1089" s="26" t="s">
        <v>6224</v>
      </c>
      <c r="K1089" s="27"/>
      <c r="L1089" s="28" t="s">
        <v>6223</v>
      </c>
      <c r="M1089" s="29" t="str">
        <f t="shared" si="80"/>
        <v>✓ OK</v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3437</v>
      </c>
      <c r="C1090" s="44" t="s">
        <v>3438</v>
      </c>
      <c r="D1090" s="42" t="s">
        <v>3416</v>
      </c>
      <c r="E1090" s="46">
        <v>46125</v>
      </c>
      <c r="F1090" s="26" t="s">
        <v>6222</v>
      </c>
      <c r="G1090" s="26" t="s">
        <v>6224</v>
      </c>
      <c r="H1090" s="26" t="s">
        <v>6223</v>
      </c>
      <c r="I1090" s="26" t="s">
        <v>6225</v>
      </c>
      <c r="J1090" s="26" t="s">
        <v>6224</v>
      </c>
      <c r="K1090" s="27"/>
      <c r="L1090" s="28" t="s">
        <v>6223</v>
      </c>
      <c r="M1090" s="29" t="str">
        <f t="shared" si="80"/>
        <v>✓ OK</v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3439</v>
      </c>
      <c r="C1091" s="25" t="s">
        <v>3440</v>
      </c>
      <c r="D1091" s="23" t="s">
        <v>3416</v>
      </c>
      <c r="E1091" s="46">
        <v>46125</v>
      </c>
      <c r="F1091" s="26" t="s">
        <v>6222</v>
      </c>
      <c r="G1091" s="26" t="s">
        <v>6224</v>
      </c>
      <c r="H1091" s="26" t="s">
        <v>6223</v>
      </c>
      <c r="I1091" s="26" t="s">
        <v>6225</v>
      </c>
      <c r="J1091" s="26" t="s">
        <v>6224</v>
      </c>
      <c r="K1091" s="27"/>
      <c r="L1091" s="28" t="s">
        <v>6223</v>
      </c>
      <c r="M1091" s="29" t="str">
        <f t="shared" si="80"/>
        <v>✓ OK</v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3441</v>
      </c>
      <c r="C1092" s="44" t="s">
        <v>3442</v>
      </c>
      <c r="D1092" s="42" t="s">
        <v>3416</v>
      </c>
      <c r="E1092" s="46">
        <v>46125</v>
      </c>
      <c r="F1092" s="26" t="s">
        <v>6222</v>
      </c>
      <c r="G1092" s="26" t="s">
        <v>6224</v>
      </c>
      <c r="H1092" s="26" t="s">
        <v>6223</v>
      </c>
      <c r="I1092" s="26" t="s">
        <v>6225</v>
      </c>
      <c r="J1092" s="26" t="s">
        <v>6224</v>
      </c>
      <c r="K1092" s="27"/>
      <c r="L1092" s="28" t="s">
        <v>6223</v>
      </c>
      <c r="M1092" s="29" t="str">
        <f t="shared" si="80"/>
        <v>✓ OK</v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3443</v>
      </c>
      <c r="C1093" s="25" t="s">
        <v>3444</v>
      </c>
      <c r="D1093" s="23" t="s">
        <v>3416</v>
      </c>
      <c r="E1093" s="46">
        <v>46125</v>
      </c>
      <c r="F1093" s="26" t="s">
        <v>6222</v>
      </c>
      <c r="G1093" s="26" t="s">
        <v>6224</v>
      </c>
      <c r="H1093" s="26" t="s">
        <v>6223</v>
      </c>
      <c r="I1093" s="26" t="s">
        <v>6225</v>
      </c>
      <c r="J1093" s="26" t="s">
        <v>6224</v>
      </c>
      <c r="K1093" s="27"/>
      <c r="L1093" s="28" t="s">
        <v>6223</v>
      </c>
      <c r="M1093" s="29" t="str">
        <f t="shared" ref="M1093:M1156" si="85">IF(E1093="","",IF(H1093="Yes","❌ Disc",IF(G1093="No","⚠ Missing",IF(J1093="Yes","✓ OK","⚠ Check"))))</f>
        <v>✓ OK</v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3445</v>
      </c>
      <c r="C1094" s="44" t="s">
        <v>3446</v>
      </c>
      <c r="D1094" s="42" t="s">
        <v>3416</v>
      </c>
      <c r="E1094" s="46">
        <v>46125</v>
      </c>
      <c r="F1094" s="26" t="s">
        <v>6222</v>
      </c>
      <c r="G1094" s="26" t="s">
        <v>6224</v>
      </c>
      <c r="H1094" s="26" t="s">
        <v>6223</v>
      </c>
      <c r="I1094" s="26" t="s">
        <v>6225</v>
      </c>
      <c r="J1094" s="26" t="s">
        <v>6224</v>
      </c>
      <c r="K1094" s="27"/>
      <c r="L1094" s="28" t="s">
        <v>6223</v>
      </c>
      <c r="M1094" s="29" t="str">
        <f t="shared" si="85"/>
        <v>✓ OK</v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3447</v>
      </c>
      <c r="C1095" s="25" t="s">
        <v>3448</v>
      </c>
      <c r="D1095" s="23" t="s">
        <v>3416</v>
      </c>
      <c r="E1095" s="46">
        <v>46125</v>
      </c>
      <c r="F1095" s="26" t="s">
        <v>6222</v>
      </c>
      <c r="G1095" s="26" t="s">
        <v>6224</v>
      </c>
      <c r="H1095" s="26" t="s">
        <v>6223</v>
      </c>
      <c r="I1095" s="26" t="s">
        <v>6225</v>
      </c>
      <c r="J1095" s="26" t="s">
        <v>6224</v>
      </c>
      <c r="K1095" s="27"/>
      <c r="L1095" s="28" t="s">
        <v>6223</v>
      </c>
      <c r="M1095" s="29" t="str">
        <f t="shared" si="85"/>
        <v>✓ OK</v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3449</v>
      </c>
      <c r="C1096" s="44" t="s">
        <v>3450</v>
      </c>
      <c r="D1096" s="42" t="s">
        <v>3416</v>
      </c>
      <c r="E1096" s="46">
        <v>46125</v>
      </c>
      <c r="F1096" s="26" t="s">
        <v>6222</v>
      </c>
      <c r="G1096" s="26" t="s">
        <v>6224</v>
      </c>
      <c r="H1096" s="26" t="s">
        <v>6223</v>
      </c>
      <c r="I1096" s="26" t="s">
        <v>6225</v>
      </c>
      <c r="J1096" s="26" t="s">
        <v>6224</v>
      </c>
      <c r="K1096" s="27"/>
      <c r="L1096" s="28" t="s">
        <v>6223</v>
      </c>
      <c r="M1096" s="29" t="str">
        <f t="shared" si="85"/>
        <v>✓ OK</v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3451</v>
      </c>
      <c r="C1097" s="25" t="s">
        <v>3452</v>
      </c>
      <c r="D1097" s="23" t="s">
        <v>3416</v>
      </c>
      <c r="E1097" s="46">
        <v>46125</v>
      </c>
      <c r="F1097" s="26" t="s">
        <v>6222</v>
      </c>
      <c r="G1097" s="26" t="s">
        <v>6224</v>
      </c>
      <c r="H1097" s="26" t="s">
        <v>6223</v>
      </c>
      <c r="I1097" s="26" t="s">
        <v>6225</v>
      </c>
      <c r="J1097" s="26" t="s">
        <v>6224</v>
      </c>
      <c r="K1097" s="27"/>
      <c r="L1097" s="28" t="s">
        <v>6223</v>
      </c>
      <c r="M1097" s="29" t="str">
        <f t="shared" si="85"/>
        <v>✓ OK</v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3453</v>
      </c>
      <c r="C1098" s="44" t="s">
        <v>3454</v>
      </c>
      <c r="D1098" s="42" t="s">
        <v>3416</v>
      </c>
      <c r="E1098" s="46">
        <v>46125</v>
      </c>
      <c r="F1098" s="26" t="s">
        <v>6222</v>
      </c>
      <c r="G1098" s="26" t="s">
        <v>6224</v>
      </c>
      <c r="H1098" s="26" t="s">
        <v>6223</v>
      </c>
      <c r="I1098" s="26" t="s">
        <v>6225</v>
      </c>
      <c r="J1098" s="26" t="s">
        <v>6224</v>
      </c>
      <c r="K1098" s="27"/>
      <c r="L1098" s="28" t="s">
        <v>6223</v>
      </c>
      <c r="M1098" s="29" t="str">
        <f t="shared" si="85"/>
        <v>✓ OK</v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3455</v>
      </c>
      <c r="C1099" s="25" t="s">
        <v>3456</v>
      </c>
      <c r="D1099" s="23" t="s">
        <v>3416</v>
      </c>
      <c r="E1099" s="46">
        <v>46125</v>
      </c>
      <c r="F1099" s="26" t="s">
        <v>6222</v>
      </c>
      <c r="G1099" s="26" t="s">
        <v>6224</v>
      </c>
      <c r="H1099" s="26" t="s">
        <v>6223</v>
      </c>
      <c r="I1099" s="26" t="s">
        <v>6225</v>
      </c>
      <c r="J1099" s="26" t="s">
        <v>6224</v>
      </c>
      <c r="K1099" s="27"/>
      <c r="L1099" s="28" t="s">
        <v>6223</v>
      </c>
      <c r="M1099" s="29" t="str">
        <f t="shared" si="85"/>
        <v>✓ OK</v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3457</v>
      </c>
      <c r="C1100" s="44" t="s">
        <v>3458</v>
      </c>
      <c r="D1100" s="42" t="s">
        <v>3416</v>
      </c>
      <c r="E1100" s="46">
        <v>46125</v>
      </c>
      <c r="F1100" s="26" t="s">
        <v>6222</v>
      </c>
      <c r="G1100" s="26" t="s">
        <v>6224</v>
      </c>
      <c r="H1100" s="26" t="s">
        <v>6223</v>
      </c>
      <c r="I1100" s="26" t="s">
        <v>6225</v>
      </c>
      <c r="J1100" s="26" t="s">
        <v>6224</v>
      </c>
      <c r="K1100" s="27"/>
      <c r="L1100" s="28" t="s">
        <v>6223</v>
      </c>
      <c r="M1100" s="29" t="str">
        <f t="shared" si="85"/>
        <v>✓ OK</v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3459</v>
      </c>
      <c r="C1101" s="25" t="s">
        <v>3460</v>
      </c>
      <c r="D1101" s="23" t="s">
        <v>3416</v>
      </c>
      <c r="E1101" s="46">
        <v>46125</v>
      </c>
      <c r="F1101" s="26" t="s">
        <v>6222</v>
      </c>
      <c r="G1101" s="26" t="s">
        <v>6224</v>
      </c>
      <c r="H1101" s="26" t="s">
        <v>6223</v>
      </c>
      <c r="I1101" s="26" t="s">
        <v>6225</v>
      </c>
      <c r="J1101" s="26" t="s">
        <v>6224</v>
      </c>
      <c r="K1101" s="27"/>
      <c r="L1101" s="28" t="s">
        <v>6223</v>
      </c>
      <c r="M1101" s="29" t="str">
        <f t="shared" si="85"/>
        <v>✓ OK</v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3461</v>
      </c>
      <c r="C1102" s="44" t="s">
        <v>3462</v>
      </c>
      <c r="D1102" s="42" t="s">
        <v>3416</v>
      </c>
      <c r="E1102" s="46">
        <v>46125</v>
      </c>
      <c r="F1102" s="26" t="s">
        <v>6222</v>
      </c>
      <c r="G1102" s="26" t="s">
        <v>6224</v>
      </c>
      <c r="H1102" s="26" t="s">
        <v>6223</v>
      </c>
      <c r="I1102" s="26" t="s">
        <v>6225</v>
      </c>
      <c r="J1102" s="26" t="s">
        <v>6224</v>
      </c>
      <c r="K1102" s="27"/>
      <c r="L1102" s="28" t="s">
        <v>6223</v>
      </c>
      <c r="M1102" s="29" t="str">
        <f t="shared" si="85"/>
        <v>✓ OK</v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3463</v>
      </c>
      <c r="C1103" s="25" t="s">
        <v>3464</v>
      </c>
      <c r="D1103" s="23" t="s">
        <v>3416</v>
      </c>
      <c r="E1103" s="46">
        <v>46125</v>
      </c>
      <c r="F1103" s="26" t="s">
        <v>6222</v>
      </c>
      <c r="G1103" s="26" t="s">
        <v>6224</v>
      </c>
      <c r="H1103" s="26" t="s">
        <v>6223</v>
      </c>
      <c r="I1103" s="26" t="s">
        <v>6225</v>
      </c>
      <c r="J1103" s="26" t="s">
        <v>6224</v>
      </c>
      <c r="K1103" s="27"/>
      <c r="L1103" s="28" t="s">
        <v>6223</v>
      </c>
      <c r="M1103" s="29" t="str">
        <f t="shared" si="85"/>
        <v>✓ OK</v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3465</v>
      </c>
      <c r="C1104" s="44" t="s">
        <v>3466</v>
      </c>
      <c r="D1104" s="42" t="s">
        <v>3416</v>
      </c>
      <c r="E1104" s="46">
        <v>46125</v>
      </c>
      <c r="F1104" s="26" t="s">
        <v>6222</v>
      </c>
      <c r="G1104" s="26" t="s">
        <v>6224</v>
      </c>
      <c r="H1104" s="26" t="s">
        <v>6223</v>
      </c>
      <c r="I1104" s="26" t="s">
        <v>6225</v>
      </c>
      <c r="J1104" s="26" t="s">
        <v>6224</v>
      </c>
      <c r="K1104" s="27"/>
      <c r="L1104" s="28" t="s">
        <v>6223</v>
      </c>
      <c r="M1104" s="29" t="str">
        <f t="shared" si="85"/>
        <v>✓ OK</v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3467</v>
      </c>
      <c r="C1105" s="25" t="s">
        <v>3468</v>
      </c>
      <c r="D1105" s="23" t="s">
        <v>3416</v>
      </c>
      <c r="E1105" s="46">
        <v>46125</v>
      </c>
      <c r="F1105" s="26" t="s">
        <v>6222</v>
      </c>
      <c r="G1105" s="26" t="s">
        <v>6224</v>
      </c>
      <c r="H1105" s="26" t="s">
        <v>6223</v>
      </c>
      <c r="I1105" s="26" t="s">
        <v>6225</v>
      </c>
      <c r="J1105" s="26" t="s">
        <v>6224</v>
      </c>
      <c r="K1105" s="27"/>
      <c r="L1105" s="28" t="s">
        <v>6223</v>
      </c>
      <c r="M1105" s="29" t="str">
        <f t="shared" si="85"/>
        <v>✓ OK</v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3469</v>
      </c>
      <c r="C1106" s="44" t="s">
        <v>3470</v>
      </c>
      <c r="D1106" s="42" t="s">
        <v>3416</v>
      </c>
      <c r="E1106" s="46">
        <v>46125</v>
      </c>
      <c r="F1106" s="26" t="s">
        <v>6222</v>
      </c>
      <c r="G1106" s="26" t="s">
        <v>6224</v>
      </c>
      <c r="H1106" s="26" t="s">
        <v>6223</v>
      </c>
      <c r="I1106" s="26" t="s">
        <v>6225</v>
      </c>
      <c r="J1106" s="26" t="s">
        <v>6224</v>
      </c>
      <c r="K1106" s="27"/>
      <c r="L1106" s="28" t="s">
        <v>6223</v>
      </c>
      <c r="M1106" s="29" t="str">
        <f t="shared" si="85"/>
        <v>✓ OK</v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3471</v>
      </c>
      <c r="C1107" s="25" t="s">
        <v>3472</v>
      </c>
      <c r="D1107" s="23" t="s">
        <v>3416</v>
      </c>
      <c r="E1107" s="46">
        <v>46125</v>
      </c>
      <c r="F1107" s="26" t="s">
        <v>6222</v>
      </c>
      <c r="G1107" s="26" t="s">
        <v>6224</v>
      </c>
      <c r="H1107" s="26" t="s">
        <v>6223</v>
      </c>
      <c r="I1107" s="26" t="s">
        <v>6225</v>
      </c>
      <c r="J1107" s="26" t="s">
        <v>6224</v>
      </c>
      <c r="K1107" s="27"/>
      <c r="L1107" s="28" t="s">
        <v>6223</v>
      </c>
      <c r="M1107" s="29" t="str">
        <f t="shared" si="85"/>
        <v>✓ OK</v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3473</v>
      </c>
      <c r="C1108" s="44" t="s">
        <v>3474</v>
      </c>
      <c r="D1108" s="42" t="s">
        <v>3416</v>
      </c>
      <c r="E1108" s="46">
        <v>46125</v>
      </c>
      <c r="F1108" s="26" t="s">
        <v>6222</v>
      </c>
      <c r="G1108" s="26" t="s">
        <v>6224</v>
      </c>
      <c r="H1108" s="26" t="s">
        <v>6223</v>
      </c>
      <c r="I1108" s="26" t="s">
        <v>6225</v>
      </c>
      <c r="J1108" s="26" t="s">
        <v>6224</v>
      </c>
      <c r="K1108" s="27"/>
      <c r="L1108" s="28" t="s">
        <v>6223</v>
      </c>
      <c r="M1108" s="29" t="str">
        <f t="shared" si="85"/>
        <v>✓ OK</v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3475</v>
      </c>
      <c r="C1109" s="25" t="s">
        <v>3476</v>
      </c>
      <c r="D1109" s="23" t="s">
        <v>3416</v>
      </c>
      <c r="E1109" s="46">
        <v>46125</v>
      </c>
      <c r="F1109" s="26" t="s">
        <v>6222</v>
      </c>
      <c r="G1109" s="26" t="s">
        <v>6224</v>
      </c>
      <c r="H1109" s="26" t="s">
        <v>6223</v>
      </c>
      <c r="I1109" s="26" t="s">
        <v>6225</v>
      </c>
      <c r="J1109" s="26" t="s">
        <v>6224</v>
      </c>
      <c r="K1109" s="27"/>
      <c r="L1109" s="28" t="s">
        <v>6223</v>
      </c>
      <c r="M1109" s="29" t="str">
        <f t="shared" si="85"/>
        <v>✓ OK</v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3477</v>
      </c>
      <c r="C1110" s="44" t="s">
        <v>3478</v>
      </c>
      <c r="D1110" s="42" t="s">
        <v>3416</v>
      </c>
      <c r="E1110" s="46">
        <v>46125</v>
      </c>
      <c r="F1110" s="26" t="s">
        <v>6222</v>
      </c>
      <c r="G1110" s="26" t="s">
        <v>6224</v>
      </c>
      <c r="H1110" s="26" t="s">
        <v>6223</v>
      </c>
      <c r="I1110" s="26" t="s">
        <v>6225</v>
      </c>
      <c r="J1110" s="26" t="s">
        <v>6224</v>
      </c>
      <c r="K1110" s="27"/>
      <c r="L1110" s="28" t="s">
        <v>6223</v>
      </c>
      <c r="M1110" s="29" t="str">
        <f t="shared" si="85"/>
        <v>✓ OK</v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3479</v>
      </c>
      <c r="C1111" s="25" t="s">
        <v>3480</v>
      </c>
      <c r="D1111" s="23" t="s">
        <v>3416</v>
      </c>
      <c r="E1111" s="46">
        <v>46125</v>
      </c>
      <c r="F1111" s="26" t="s">
        <v>6222</v>
      </c>
      <c r="G1111" s="26" t="s">
        <v>6224</v>
      </c>
      <c r="H1111" s="26" t="s">
        <v>6223</v>
      </c>
      <c r="I1111" s="26" t="s">
        <v>6225</v>
      </c>
      <c r="J1111" s="26" t="s">
        <v>6224</v>
      </c>
      <c r="K1111" s="27"/>
      <c r="L1111" s="28" t="s">
        <v>6223</v>
      </c>
      <c r="M1111" s="29" t="str">
        <f t="shared" si="85"/>
        <v>✓ OK</v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3481</v>
      </c>
      <c r="C1112" s="44" t="s">
        <v>3482</v>
      </c>
      <c r="D1112" s="42" t="s">
        <v>3416</v>
      </c>
      <c r="E1112" s="46">
        <v>46125</v>
      </c>
      <c r="F1112" s="26" t="s">
        <v>6222</v>
      </c>
      <c r="G1112" s="26" t="s">
        <v>6224</v>
      </c>
      <c r="H1112" s="26" t="s">
        <v>6223</v>
      </c>
      <c r="I1112" s="26" t="s">
        <v>6225</v>
      </c>
      <c r="J1112" s="26" t="s">
        <v>6224</v>
      </c>
      <c r="K1112" s="27"/>
      <c r="L1112" s="28" t="s">
        <v>6223</v>
      </c>
      <c r="M1112" s="29" t="str">
        <f t="shared" si="85"/>
        <v>✓ OK</v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3483</v>
      </c>
      <c r="C1113" s="25" t="s">
        <v>3484</v>
      </c>
      <c r="D1113" s="23" t="s">
        <v>3416</v>
      </c>
      <c r="E1113" s="46">
        <v>46125</v>
      </c>
      <c r="F1113" s="26" t="s">
        <v>6222</v>
      </c>
      <c r="G1113" s="26" t="s">
        <v>6224</v>
      </c>
      <c r="H1113" s="26" t="s">
        <v>6223</v>
      </c>
      <c r="I1113" s="26" t="s">
        <v>6225</v>
      </c>
      <c r="J1113" s="26" t="s">
        <v>6224</v>
      </c>
      <c r="K1113" s="27"/>
      <c r="L1113" s="28" t="s">
        <v>6223</v>
      </c>
      <c r="M1113" s="29" t="str">
        <f t="shared" si="85"/>
        <v>✓ OK</v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3485</v>
      </c>
      <c r="C1114" s="44" t="s">
        <v>3486</v>
      </c>
      <c r="D1114" s="42" t="s">
        <v>3416</v>
      </c>
      <c r="E1114" s="46">
        <v>46125</v>
      </c>
      <c r="F1114" s="26" t="s">
        <v>6222</v>
      </c>
      <c r="G1114" s="26" t="s">
        <v>6224</v>
      </c>
      <c r="H1114" s="26" t="s">
        <v>6223</v>
      </c>
      <c r="I1114" s="26" t="s">
        <v>6225</v>
      </c>
      <c r="J1114" s="26" t="s">
        <v>6224</v>
      </c>
      <c r="K1114" s="27"/>
      <c r="L1114" s="28" t="s">
        <v>6223</v>
      </c>
      <c r="M1114" s="29" t="str">
        <f t="shared" si="85"/>
        <v>✓ OK</v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3487</v>
      </c>
      <c r="C1115" s="25" t="s">
        <v>3488</v>
      </c>
      <c r="D1115" s="23" t="s">
        <v>3416</v>
      </c>
      <c r="E1115" s="46">
        <v>46125</v>
      </c>
      <c r="F1115" s="26" t="s">
        <v>6222</v>
      </c>
      <c r="G1115" s="26" t="s">
        <v>6224</v>
      </c>
      <c r="H1115" s="26" t="s">
        <v>6223</v>
      </c>
      <c r="I1115" s="26" t="s">
        <v>6225</v>
      </c>
      <c r="J1115" s="26" t="s">
        <v>6224</v>
      </c>
      <c r="K1115" s="27"/>
      <c r="L1115" s="28" t="s">
        <v>6223</v>
      </c>
      <c r="M1115" s="29" t="str">
        <f t="shared" si="85"/>
        <v>✓ OK</v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3489</v>
      </c>
      <c r="C1116" s="44" t="s">
        <v>3490</v>
      </c>
      <c r="D1116" s="42" t="s">
        <v>3416</v>
      </c>
      <c r="E1116" s="46">
        <v>46125</v>
      </c>
      <c r="F1116" s="26" t="s">
        <v>6222</v>
      </c>
      <c r="G1116" s="26" t="s">
        <v>6224</v>
      </c>
      <c r="H1116" s="26" t="s">
        <v>6223</v>
      </c>
      <c r="I1116" s="26" t="s">
        <v>6225</v>
      </c>
      <c r="J1116" s="26" t="s">
        <v>6224</v>
      </c>
      <c r="K1116" s="27"/>
      <c r="L1116" s="28" t="s">
        <v>6223</v>
      </c>
      <c r="M1116" s="29" t="str">
        <f t="shared" si="85"/>
        <v>✓ OK</v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3491</v>
      </c>
      <c r="C1117" s="25" t="s">
        <v>3492</v>
      </c>
      <c r="D1117" s="23" t="s">
        <v>3416</v>
      </c>
      <c r="E1117" s="46">
        <v>46125</v>
      </c>
      <c r="F1117" s="26" t="s">
        <v>6222</v>
      </c>
      <c r="G1117" s="26" t="s">
        <v>6224</v>
      </c>
      <c r="H1117" s="26" t="s">
        <v>6223</v>
      </c>
      <c r="I1117" s="26" t="s">
        <v>6225</v>
      </c>
      <c r="J1117" s="26" t="s">
        <v>6224</v>
      </c>
      <c r="K1117" s="27"/>
      <c r="L1117" s="28" t="s">
        <v>6223</v>
      </c>
      <c r="M1117" s="29" t="str">
        <f t="shared" si="85"/>
        <v>✓ OK</v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3493</v>
      </c>
      <c r="C1118" s="44" t="s">
        <v>3494</v>
      </c>
      <c r="D1118" s="42" t="s">
        <v>3416</v>
      </c>
      <c r="E1118" s="46">
        <v>46125</v>
      </c>
      <c r="F1118" s="26" t="s">
        <v>6222</v>
      </c>
      <c r="G1118" s="26" t="s">
        <v>6224</v>
      </c>
      <c r="H1118" s="26" t="s">
        <v>6223</v>
      </c>
      <c r="I1118" s="26" t="s">
        <v>6225</v>
      </c>
      <c r="J1118" s="26" t="s">
        <v>6224</v>
      </c>
      <c r="K1118" s="27"/>
      <c r="L1118" s="28" t="s">
        <v>6223</v>
      </c>
      <c r="M1118" s="29" t="str">
        <f t="shared" si="85"/>
        <v>✓ OK</v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3495</v>
      </c>
      <c r="C1119" s="25" t="s">
        <v>3496</v>
      </c>
      <c r="D1119" s="23" t="s">
        <v>3416</v>
      </c>
      <c r="E1119" s="46">
        <v>46125</v>
      </c>
      <c r="F1119" s="26" t="s">
        <v>6222</v>
      </c>
      <c r="G1119" s="26" t="s">
        <v>6224</v>
      </c>
      <c r="H1119" s="26" t="s">
        <v>6223</v>
      </c>
      <c r="I1119" s="26" t="s">
        <v>6225</v>
      </c>
      <c r="J1119" s="26" t="s">
        <v>6224</v>
      </c>
      <c r="K1119" s="27"/>
      <c r="L1119" s="28" t="s">
        <v>6223</v>
      </c>
      <c r="M1119" s="29" t="str">
        <f t="shared" si="85"/>
        <v>✓ OK</v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3497</v>
      </c>
      <c r="C1120" s="44" t="s">
        <v>3498</v>
      </c>
      <c r="D1120" s="42" t="s">
        <v>3416</v>
      </c>
      <c r="E1120" s="46">
        <v>46125</v>
      </c>
      <c r="F1120" s="26" t="s">
        <v>6222</v>
      </c>
      <c r="G1120" s="26" t="s">
        <v>6224</v>
      </c>
      <c r="H1120" s="26" t="s">
        <v>6223</v>
      </c>
      <c r="I1120" s="26" t="s">
        <v>6225</v>
      </c>
      <c r="J1120" s="26" t="s">
        <v>6224</v>
      </c>
      <c r="K1120" s="27"/>
      <c r="L1120" s="28" t="s">
        <v>6223</v>
      </c>
      <c r="M1120" s="29" t="str">
        <f t="shared" si="85"/>
        <v>✓ OK</v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3499</v>
      </c>
      <c r="C1121" s="25" t="s">
        <v>3500</v>
      </c>
      <c r="D1121" s="23" t="s">
        <v>3416</v>
      </c>
      <c r="E1121" s="46">
        <v>46125</v>
      </c>
      <c r="F1121" s="26" t="s">
        <v>6222</v>
      </c>
      <c r="G1121" s="26" t="s">
        <v>6224</v>
      </c>
      <c r="H1121" s="26" t="s">
        <v>6223</v>
      </c>
      <c r="I1121" s="26" t="s">
        <v>6225</v>
      </c>
      <c r="J1121" s="26" t="s">
        <v>6224</v>
      </c>
      <c r="K1121" s="27"/>
      <c r="L1121" s="28" t="s">
        <v>6223</v>
      </c>
      <c r="M1121" s="29" t="str">
        <f t="shared" si="85"/>
        <v>✓ OK</v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3501</v>
      </c>
      <c r="C1122" s="44" t="s">
        <v>3502</v>
      </c>
      <c r="D1122" s="42" t="s">
        <v>3416</v>
      </c>
      <c r="E1122" s="46">
        <v>46125</v>
      </c>
      <c r="F1122" s="26" t="s">
        <v>6222</v>
      </c>
      <c r="G1122" s="26" t="s">
        <v>6224</v>
      </c>
      <c r="H1122" s="26" t="s">
        <v>6223</v>
      </c>
      <c r="I1122" s="26" t="s">
        <v>6225</v>
      </c>
      <c r="J1122" s="26" t="s">
        <v>6224</v>
      </c>
      <c r="K1122" s="27"/>
      <c r="L1122" s="28" t="s">
        <v>6223</v>
      </c>
      <c r="M1122" s="29" t="str">
        <f t="shared" si="85"/>
        <v>✓ OK</v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3503</v>
      </c>
      <c r="C1123" s="25" t="s">
        <v>3504</v>
      </c>
      <c r="D1123" s="23" t="s">
        <v>3416</v>
      </c>
      <c r="E1123" s="46">
        <v>46125</v>
      </c>
      <c r="F1123" s="26" t="s">
        <v>6222</v>
      </c>
      <c r="G1123" s="26" t="s">
        <v>6224</v>
      </c>
      <c r="H1123" s="26" t="s">
        <v>6223</v>
      </c>
      <c r="I1123" s="26" t="s">
        <v>6225</v>
      </c>
      <c r="J1123" s="26" t="s">
        <v>6224</v>
      </c>
      <c r="K1123" s="27"/>
      <c r="L1123" s="28" t="s">
        <v>6223</v>
      </c>
      <c r="M1123" s="29" t="str">
        <f t="shared" si="85"/>
        <v>✓ OK</v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3505</v>
      </c>
      <c r="C1124" s="44" t="s">
        <v>3506</v>
      </c>
      <c r="D1124" s="42" t="s">
        <v>3416</v>
      </c>
      <c r="E1124" s="46">
        <v>46125</v>
      </c>
      <c r="F1124" s="26" t="s">
        <v>6222</v>
      </c>
      <c r="G1124" s="26" t="s">
        <v>6224</v>
      </c>
      <c r="H1124" s="26" t="s">
        <v>6223</v>
      </c>
      <c r="I1124" s="26" t="s">
        <v>6225</v>
      </c>
      <c r="J1124" s="26" t="s">
        <v>6224</v>
      </c>
      <c r="K1124" s="27"/>
      <c r="L1124" s="28" t="s">
        <v>6223</v>
      </c>
      <c r="M1124" s="29" t="str">
        <f t="shared" si="85"/>
        <v>✓ OK</v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3507</v>
      </c>
      <c r="C1125" s="25" t="s">
        <v>3508</v>
      </c>
      <c r="D1125" s="23" t="s">
        <v>3416</v>
      </c>
      <c r="E1125" s="46">
        <v>46125</v>
      </c>
      <c r="F1125" s="26" t="s">
        <v>6222</v>
      </c>
      <c r="G1125" s="26" t="s">
        <v>6224</v>
      </c>
      <c r="H1125" s="26" t="s">
        <v>6223</v>
      </c>
      <c r="I1125" s="26" t="s">
        <v>6225</v>
      </c>
      <c r="J1125" s="26" t="s">
        <v>6224</v>
      </c>
      <c r="K1125" s="27"/>
      <c r="L1125" s="28" t="s">
        <v>6223</v>
      </c>
      <c r="M1125" s="29" t="str">
        <f t="shared" si="85"/>
        <v>✓ OK</v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3509</v>
      </c>
      <c r="C1126" s="44" t="s">
        <v>3510</v>
      </c>
      <c r="D1126" s="42" t="s">
        <v>3416</v>
      </c>
      <c r="E1126" s="46">
        <v>46125</v>
      </c>
      <c r="F1126" s="26" t="s">
        <v>6222</v>
      </c>
      <c r="G1126" s="26" t="s">
        <v>6224</v>
      </c>
      <c r="H1126" s="26" t="s">
        <v>6223</v>
      </c>
      <c r="I1126" s="26" t="s">
        <v>6225</v>
      </c>
      <c r="J1126" s="26" t="s">
        <v>6224</v>
      </c>
      <c r="K1126" s="27"/>
      <c r="L1126" s="28" t="s">
        <v>6223</v>
      </c>
      <c r="M1126" s="29" t="str">
        <f t="shared" si="85"/>
        <v>✓ OK</v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3511</v>
      </c>
      <c r="C1127" s="25" t="s">
        <v>3512</v>
      </c>
      <c r="D1127" s="23" t="s">
        <v>3416</v>
      </c>
      <c r="E1127" s="46">
        <v>46125</v>
      </c>
      <c r="F1127" s="26" t="s">
        <v>6222</v>
      </c>
      <c r="G1127" s="26" t="s">
        <v>6224</v>
      </c>
      <c r="H1127" s="26" t="s">
        <v>6223</v>
      </c>
      <c r="I1127" s="26" t="s">
        <v>6225</v>
      </c>
      <c r="J1127" s="26" t="s">
        <v>6224</v>
      </c>
      <c r="K1127" s="27"/>
      <c r="L1127" s="28" t="s">
        <v>6223</v>
      </c>
      <c r="M1127" s="29" t="str">
        <f t="shared" si="85"/>
        <v>✓ OK</v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3513</v>
      </c>
      <c r="C1128" s="44" t="s">
        <v>3514</v>
      </c>
      <c r="D1128" s="42" t="s">
        <v>3416</v>
      </c>
      <c r="E1128" s="46">
        <v>46125</v>
      </c>
      <c r="F1128" s="26" t="s">
        <v>6222</v>
      </c>
      <c r="G1128" s="26" t="s">
        <v>6224</v>
      </c>
      <c r="H1128" s="26" t="s">
        <v>6223</v>
      </c>
      <c r="I1128" s="26" t="s">
        <v>6225</v>
      </c>
      <c r="J1128" s="26" t="s">
        <v>6224</v>
      </c>
      <c r="K1128" s="27"/>
      <c r="L1128" s="28" t="s">
        <v>6223</v>
      </c>
      <c r="M1128" s="29" t="str">
        <f t="shared" si="85"/>
        <v>✓ OK</v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3515</v>
      </c>
      <c r="C1129" s="25" t="s">
        <v>3516</v>
      </c>
      <c r="D1129" s="23" t="s">
        <v>3416</v>
      </c>
      <c r="E1129" s="46">
        <v>46125</v>
      </c>
      <c r="F1129" s="26" t="s">
        <v>6222</v>
      </c>
      <c r="G1129" s="26" t="s">
        <v>6224</v>
      </c>
      <c r="H1129" s="26" t="s">
        <v>6223</v>
      </c>
      <c r="I1129" s="26" t="s">
        <v>6225</v>
      </c>
      <c r="J1129" s="26" t="s">
        <v>6224</v>
      </c>
      <c r="K1129" s="27"/>
      <c r="L1129" s="28" t="s">
        <v>6223</v>
      </c>
      <c r="M1129" s="29" t="str">
        <f t="shared" si="85"/>
        <v>✓ OK</v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3517</v>
      </c>
      <c r="C1130" s="44" t="s">
        <v>3518</v>
      </c>
      <c r="D1130" s="42" t="s">
        <v>3416</v>
      </c>
      <c r="E1130" s="46">
        <v>46125</v>
      </c>
      <c r="F1130" s="26" t="s">
        <v>6222</v>
      </c>
      <c r="G1130" s="26" t="s">
        <v>6224</v>
      </c>
      <c r="H1130" s="26" t="s">
        <v>6223</v>
      </c>
      <c r="I1130" s="26" t="s">
        <v>6225</v>
      </c>
      <c r="J1130" s="26" t="s">
        <v>6224</v>
      </c>
      <c r="K1130" s="27"/>
      <c r="L1130" s="28" t="s">
        <v>6223</v>
      </c>
      <c r="M1130" s="29" t="str">
        <f t="shared" si="85"/>
        <v>✓ OK</v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3519</v>
      </c>
      <c r="C1131" s="25" t="s">
        <v>3520</v>
      </c>
      <c r="D1131" s="23" t="s">
        <v>3416</v>
      </c>
      <c r="E1131" s="46">
        <v>46125</v>
      </c>
      <c r="F1131" s="26" t="s">
        <v>6222</v>
      </c>
      <c r="G1131" s="26" t="s">
        <v>6224</v>
      </c>
      <c r="H1131" s="26" t="s">
        <v>6223</v>
      </c>
      <c r="I1131" s="26" t="s">
        <v>6225</v>
      </c>
      <c r="J1131" s="26" t="s">
        <v>6224</v>
      </c>
      <c r="K1131" s="27"/>
      <c r="L1131" s="28" t="s">
        <v>6223</v>
      </c>
      <c r="M1131" s="29" t="str">
        <f t="shared" si="85"/>
        <v>✓ OK</v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3521</v>
      </c>
      <c r="C1132" s="44" t="s">
        <v>3522</v>
      </c>
      <c r="D1132" s="42" t="s">
        <v>3416</v>
      </c>
      <c r="E1132" s="46">
        <v>46125</v>
      </c>
      <c r="F1132" s="26" t="s">
        <v>6222</v>
      </c>
      <c r="G1132" s="26" t="s">
        <v>6224</v>
      </c>
      <c r="H1132" s="26" t="s">
        <v>6223</v>
      </c>
      <c r="I1132" s="26" t="s">
        <v>6225</v>
      </c>
      <c r="J1132" s="26" t="s">
        <v>6224</v>
      </c>
      <c r="K1132" s="27"/>
      <c r="L1132" s="28" t="s">
        <v>6223</v>
      </c>
      <c r="M1132" s="29" t="str">
        <f t="shared" si="85"/>
        <v>✓ OK</v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3523</v>
      </c>
      <c r="C1133" s="25" t="s">
        <v>3524</v>
      </c>
      <c r="D1133" s="23" t="s">
        <v>3416</v>
      </c>
      <c r="E1133" s="46">
        <v>46125</v>
      </c>
      <c r="F1133" s="26" t="s">
        <v>6222</v>
      </c>
      <c r="G1133" s="26" t="s">
        <v>6224</v>
      </c>
      <c r="H1133" s="26" t="s">
        <v>6223</v>
      </c>
      <c r="I1133" s="26" t="s">
        <v>6225</v>
      </c>
      <c r="J1133" s="26" t="s">
        <v>6224</v>
      </c>
      <c r="K1133" s="27"/>
      <c r="L1133" s="28" t="s">
        <v>6223</v>
      </c>
      <c r="M1133" s="29" t="str">
        <f t="shared" si="85"/>
        <v>✓ OK</v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3525</v>
      </c>
      <c r="C1134" s="44" t="s">
        <v>3526</v>
      </c>
      <c r="D1134" s="42" t="s">
        <v>3416</v>
      </c>
      <c r="E1134" s="46">
        <v>46125</v>
      </c>
      <c r="F1134" s="26" t="s">
        <v>6222</v>
      </c>
      <c r="G1134" s="26" t="s">
        <v>6224</v>
      </c>
      <c r="H1134" s="26" t="s">
        <v>6223</v>
      </c>
      <c r="I1134" s="26" t="s">
        <v>6225</v>
      </c>
      <c r="J1134" s="26" t="s">
        <v>6224</v>
      </c>
      <c r="K1134" s="27"/>
      <c r="L1134" s="28" t="s">
        <v>6223</v>
      </c>
      <c r="M1134" s="29" t="str">
        <f t="shared" si="85"/>
        <v>✓ OK</v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3527</v>
      </c>
      <c r="C1135" s="25" t="s">
        <v>3528</v>
      </c>
      <c r="D1135" s="23" t="s">
        <v>3416</v>
      </c>
      <c r="E1135" s="46">
        <v>46125</v>
      </c>
      <c r="F1135" s="26" t="s">
        <v>6222</v>
      </c>
      <c r="G1135" s="26" t="s">
        <v>6224</v>
      </c>
      <c r="H1135" s="26" t="s">
        <v>6223</v>
      </c>
      <c r="I1135" s="26" t="s">
        <v>6225</v>
      </c>
      <c r="J1135" s="26" t="s">
        <v>6224</v>
      </c>
      <c r="K1135" s="27"/>
      <c r="L1135" s="28" t="s">
        <v>6223</v>
      </c>
      <c r="M1135" s="29" t="str">
        <f t="shared" si="85"/>
        <v>✓ OK</v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3529</v>
      </c>
      <c r="C1136" s="44" t="s">
        <v>3530</v>
      </c>
      <c r="D1136" s="42" t="s">
        <v>3416</v>
      </c>
      <c r="E1136" s="46">
        <v>46125</v>
      </c>
      <c r="F1136" s="26" t="s">
        <v>6222</v>
      </c>
      <c r="G1136" s="26" t="s">
        <v>6224</v>
      </c>
      <c r="H1136" s="26" t="s">
        <v>6223</v>
      </c>
      <c r="I1136" s="26" t="s">
        <v>6225</v>
      </c>
      <c r="J1136" s="26" t="s">
        <v>6224</v>
      </c>
      <c r="K1136" s="27"/>
      <c r="L1136" s="28" t="s">
        <v>6223</v>
      </c>
      <c r="M1136" s="29" t="str">
        <f t="shared" si="85"/>
        <v>✓ OK</v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3531</v>
      </c>
      <c r="C1137" s="25" t="s">
        <v>3532</v>
      </c>
      <c r="D1137" s="23" t="s">
        <v>3416</v>
      </c>
      <c r="E1137" s="46">
        <v>46125</v>
      </c>
      <c r="F1137" s="26" t="s">
        <v>6222</v>
      </c>
      <c r="G1137" s="26" t="s">
        <v>6224</v>
      </c>
      <c r="H1137" s="26" t="s">
        <v>6223</v>
      </c>
      <c r="I1137" s="26" t="s">
        <v>6225</v>
      </c>
      <c r="J1137" s="26" t="s">
        <v>6224</v>
      </c>
      <c r="K1137" s="27"/>
      <c r="L1137" s="28" t="s">
        <v>6223</v>
      </c>
      <c r="M1137" s="29" t="str">
        <f t="shared" si="85"/>
        <v>✓ OK</v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3533</v>
      </c>
      <c r="C1138" s="44" t="s">
        <v>3534</v>
      </c>
      <c r="D1138" s="42" t="s">
        <v>3416</v>
      </c>
      <c r="E1138" s="46">
        <v>46125</v>
      </c>
      <c r="F1138" s="26" t="s">
        <v>6222</v>
      </c>
      <c r="G1138" s="26" t="s">
        <v>6224</v>
      </c>
      <c r="H1138" s="26" t="s">
        <v>6223</v>
      </c>
      <c r="I1138" s="26" t="s">
        <v>6225</v>
      </c>
      <c r="J1138" s="26" t="s">
        <v>6224</v>
      </c>
      <c r="K1138" s="27"/>
      <c r="L1138" s="28" t="s">
        <v>6223</v>
      </c>
      <c r="M1138" s="29" t="str">
        <f t="shared" si="85"/>
        <v>✓ OK</v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3535</v>
      </c>
      <c r="C1139" s="25" t="s">
        <v>3536</v>
      </c>
      <c r="D1139" s="23" t="s">
        <v>3416</v>
      </c>
      <c r="E1139" s="46">
        <v>46125</v>
      </c>
      <c r="F1139" s="26" t="s">
        <v>6222</v>
      </c>
      <c r="G1139" s="26" t="s">
        <v>6224</v>
      </c>
      <c r="H1139" s="26" t="s">
        <v>6223</v>
      </c>
      <c r="I1139" s="26" t="s">
        <v>6225</v>
      </c>
      <c r="J1139" s="26" t="s">
        <v>6224</v>
      </c>
      <c r="K1139" s="27"/>
      <c r="L1139" s="28" t="s">
        <v>6223</v>
      </c>
      <c r="M1139" s="29" t="str">
        <f t="shared" si="85"/>
        <v>✓ OK</v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3537</v>
      </c>
      <c r="C1140" s="44" t="s">
        <v>3538</v>
      </c>
      <c r="D1140" s="42" t="s">
        <v>3416</v>
      </c>
      <c r="E1140" s="46">
        <v>46125</v>
      </c>
      <c r="F1140" s="26" t="s">
        <v>6222</v>
      </c>
      <c r="G1140" s="26" t="s">
        <v>6224</v>
      </c>
      <c r="H1140" s="26" t="s">
        <v>6223</v>
      </c>
      <c r="I1140" s="26" t="s">
        <v>6225</v>
      </c>
      <c r="J1140" s="26" t="s">
        <v>6224</v>
      </c>
      <c r="K1140" s="27"/>
      <c r="L1140" s="28" t="s">
        <v>6223</v>
      </c>
      <c r="M1140" s="29" t="str">
        <f t="shared" si="85"/>
        <v>✓ OK</v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3539</v>
      </c>
      <c r="C1141" s="25" t="s">
        <v>3540</v>
      </c>
      <c r="D1141" s="23" t="s">
        <v>3416</v>
      </c>
      <c r="E1141" s="46">
        <v>46125</v>
      </c>
      <c r="F1141" s="26" t="s">
        <v>6222</v>
      </c>
      <c r="G1141" s="26" t="s">
        <v>6224</v>
      </c>
      <c r="H1141" s="26" t="s">
        <v>6223</v>
      </c>
      <c r="I1141" s="26" t="s">
        <v>6225</v>
      </c>
      <c r="J1141" s="26" t="s">
        <v>6224</v>
      </c>
      <c r="K1141" s="27"/>
      <c r="L1141" s="28" t="s">
        <v>6223</v>
      </c>
      <c r="M1141" s="29" t="str">
        <f t="shared" si="85"/>
        <v>✓ OK</v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3541</v>
      </c>
      <c r="C1142" s="44" t="s">
        <v>3542</v>
      </c>
      <c r="D1142" s="42" t="s">
        <v>3416</v>
      </c>
      <c r="E1142" s="46">
        <v>46125</v>
      </c>
      <c r="F1142" s="26" t="s">
        <v>6222</v>
      </c>
      <c r="G1142" s="26" t="s">
        <v>6224</v>
      </c>
      <c r="H1142" s="26" t="s">
        <v>6223</v>
      </c>
      <c r="I1142" s="26" t="s">
        <v>6225</v>
      </c>
      <c r="J1142" s="26" t="s">
        <v>6224</v>
      </c>
      <c r="K1142" s="27"/>
      <c r="L1142" s="28" t="s">
        <v>6223</v>
      </c>
      <c r="M1142" s="29" t="str">
        <f t="shared" si="85"/>
        <v>✓ OK</v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3543</v>
      </c>
      <c r="C1143" s="25" t="s">
        <v>3544</v>
      </c>
      <c r="D1143" s="23" t="s">
        <v>3416</v>
      </c>
      <c r="E1143" s="46">
        <v>46125</v>
      </c>
      <c r="F1143" s="26" t="s">
        <v>6222</v>
      </c>
      <c r="G1143" s="26" t="s">
        <v>6224</v>
      </c>
      <c r="H1143" s="26" t="s">
        <v>6223</v>
      </c>
      <c r="I1143" s="26" t="s">
        <v>6225</v>
      </c>
      <c r="J1143" s="26" t="s">
        <v>6224</v>
      </c>
      <c r="K1143" s="27"/>
      <c r="L1143" s="28" t="s">
        <v>6223</v>
      </c>
      <c r="M1143" s="29" t="str">
        <f t="shared" si="85"/>
        <v>✓ OK</v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3545</v>
      </c>
      <c r="C1144" s="44" t="s">
        <v>3546</v>
      </c>
      <c r="D1144" s="42" t="s">
        <v>3416</v>
      </c>
      <c r="E1144" s="46">
        <v>46125</v>
      </c>
      <c r="F1144" s="26" t="s">
        <v>6222</v>
      </c>
      <c r="G1144" s="26" t="s">
        <v>6224</v>
      </c>
      <c r="H1144" s="26" t="s">
        <v>6223</v>
      </c>
      <c r="I1144" s="26" t="s">
        <v>6225</v>
      </c>
      <c r="J1144" s="26" t="s">
        <v>6224</v>
      </c>
      <c r="K1144" s="27"/>
      <c r="L1144" s="28" t="s">
        <v>6223</v>
      </c>
      <c r="M1144" s="29" t="str">
        <f t="shared" si="85"/>
        <v>✓ OK</v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3547</v>
      </c>
      <c r="C1145" s="25" t="s">
        <v>3548</v>
      </c>
      <c r="D1145" s="23" t="s">
        <v>3416</v>
      </c>
      <c r="E1145" s="46">
        <v>46125</v>
      </c>
      <c r="F1145" s="26" t="s">
        <v>6222</v>
      </c>
      <c r="G1145" s="26" t="s">
        <v>6224</v>
      </c>
      <c r="H1145" s="26" t="s">
        <v>6223</v>
      </c>
      <c r="I1145" s="26" t="s">
        <v>6225</v>
      </c>
      <c r="J1145" s="26" t="s">
        <v>6224</v>
      </c>
      <c r="K1145" s="27"/>
      <c r="L1145" s="28" t="s">
        <v>6223</v>
      </c>
      <c r="M1145" s="29" t="str">
        <f t="shared" si="85"/>
        <v>✓ OK</v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3549</v>
      </c>
      <c r="C1146" s="44" t="s">
        <v>3550</v>
      </c>
      <c r="D1146" s="42" t="s">
        <v>3416</v>
      </c>
      <c r="E1146" s="46">
        <v>46125</v>
      </c>
      <c r="F1146" s="26" t="s">
        <v>6222</v>
      </c>
      <c r="G1146" s="26" t="s">
        <v>6224</v>
      </c>
      <c r="H1146" s="26" t="s">
        <v>6223</v>
      </c>
      <c r="I1146" s="26" t="s">
        <v>6225</v>
      </c>
      <c r="J1146" s="26" t="s">
        <v>6224</v>
      </c>
      <c r="K1146" s="27"/>
      <c r="L1146" s="28" t="s">
        <v>6223</v>
      </c>
      <c r="M1146" s="29" t="str">
        <f t="shared" si="85"/>
        <v>✓ OK</v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3551</v>
      </c>
      <c r="C1147" s="25" t="s">
        <v>3552</v>
      </c>
      <c r="D1147" s="23" t="s">
        <v>3416</v>
      </c>
      <c r="E1147" s="46">
        <v>46125</v>
      </c>
      <c r="F1147" s="26" t="s">
        <v>6222</v>
      </c>
      <c r="G1147" s="26" t="s">
        <v>6224</v>
      </c>
      <c r="H1147" s="26" t="s">
        <v>6223</v>
      </c>
      <c r="I1147" s="26" t="s">
        <v>6225</v>
      </c>
      <c r="J1147" s="26" t="s">
        <v>6224</v>
      </c>
      <c r="K1147" s="27"/>
      <c r="L1147" s="28" t="s">
        <v>6223</v>
      </c>
      <c r="M1147" s="29" t="str">
        <f t="shared" si="85"/>
        <v>✓ OK</v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3553</v>
      </c>
      <c r="C1148" s="44" t="s">
        <v>3554</v>
      </c>
      <c r="D1148" s="42" t="s">
        <v>3416</v>
      </c>
      <c r="E1148" s="46">
        <v>46125</v>
      </c>
      <c r="F1148" s="26" t="s">
        <v>6222</v>
      </c>
      <c r="G1148" s="26" t="s">
        <v>6224</v>
      </c>
      <c r="H1148" s="26" t="s">
        <v>6223</v>
      </c>
      <c r="I1148" s="26" t="s">
        <v>6225</v>
      </c>
      <c r="J1148" s="26" t="s">
        <v>6224</v>
      </c>
      <c r="K1148" s="27"/>
      <c r="L1148" s="28" t="s">
        <v>6223</v>
      </c>
      <c r="M1148" s="29" t="str">
        <f t="shared" si="85"/>
        <v>✓ OK</v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3555</v>
      </c>
      <c r="C1149" s="25" t="s">
        <v>3556</v>
      </c>
      <c r="D1149" s="23" t="s">
        <v>3416</v>
      </c>
      <c r="E1149" s="46">
        <v>46125</v>
      </c>
      <c r="F1149" s="26" t="s">
        <v>6222</v>
      </c>
      <c r="G1149" s="26" t="s">
        <v>6224</v>
      </c>
      <c r="H1149" s="26" t="s">
        <v>6223</v>
      </c>
      <c r="I1149" s="26" t="s">
        <v>6225</v>
      </c>
      <c r="J1149" s="26" t="s">
        <v>6224</v>
      </c>
      <c r="K1149" s="27"/>
      <c r="L1149" s="28" t="s">
        <v>6223</v>
      </c>
      <c r="M1149" s="29" t="str">
        <f t="shared" si="85"/>
        <v>✓ OK</v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3557</v>
      </c>
      <c r="C1150" s="44" t="s">
        <v>3558</v>
      </c>
      <c r="D1150" s="42" t="s">
        <v>3416</v>
      </c>
      <c r="E1150" s="46">
        <v>46125</v>
      </c>
      <c r="F1150" s="26" t="s">
        <v>6222</v>
      </c>
      <c r="G1150" s="26" t="s">
        <v>6224</v>
      </c>
      <c r="H1150" s="26" t="s">
        <v>6223</v>
      </c>
      <c r="I1150" s="26" t="s">
        <v>6225</v>
      </c>
      <c r="J1150" s="26" t="s">
        <v>6224</v>
      </c>
      <c r="K1150" s="27"/>
      <c r="L1150" s="28" t="s">
        <v>6223</v>
      </c>
      <c r="M1150" s="29" t="str">
        <f t="shared" si="85"/>
        <v>✓ OK</v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3559</v>
      </c>
      <c r="C1151" s="25" t="s">
        <v>3560</v>
      </c>
      <c r="D1151" s="23" t="s">
        <v>3416</v>
      </c>
      <c r="E1151" s="46">
        <v>46125</v>
      </c>
      <c r="F1151" s="26" t="s">
        <v>6222</v>
      </c>
      <c r="G1151" s="26" t="s">
        <v>6224</v>
      </c>
      <c r="H1151" s="26" t="s">
        <v>6223</v>
      </c>
      <c r="I1151" s="26" t="s">
        <v>6225</v>
      </c>
      <c r="J1151" s="26" t="s">
        <v>6224</v>
      </c>
      <c r="K1151" s="27"/>
      <c r="L1151" s="28" t="s">
        <v>6223</v>
      </c>
      <c r="M1151" s="29" t="str">
        <f t="shared" si="85"/>
        <v>✓ OK</v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3561</v>
      </c>
      <c r="C1152" s="44" t="s">
        <v>3562</v>
      </c>
      <c r="D1152" s="42" t="s">
        <v>3416</v>
      </c>
      <c r="E1152" s="46">
        <v>46125</v>
      </c>
      <c r="F1152" s="26" t="s">
        <v>6222</v>
      </c>
      <c r="G1152" s="26" t="s">
        <v>6224</v>
      </c>
      <c r="H1152" s="26" t="s">
        <v>6223</v>
      </c>
      <c r="I1152" s="26" t="s">
        <v>6225</v>
      </c>
      <c r="J1152" s="26" t="s">
        <v>6224</v>
      </c>
      <c r="K1152" s="27"/>
      <c r="L1152" s="28" t="s">
        <v>6223</v>
      </c>
      <c r="M1152" s="29" t="str">
        <f t="shared" si="85"/>
        <v>✓ OK</v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3563</v>
      </c>
      <c r="C1153" s="25" t="s">
        <v>3564</v>
      </c>
      <c r="D1153" s="23" t="s">
        <v>3416</v>
      </c>
      <c r="E1153" s="46">
        <v>46125</v>
      </c>
      <c r="F1153" s="26" t="s">
        <v>6222</v>
      </c>
      <c r="G1153" s="26" t="s">
        <v>6224</v>
      </c>
      <c r="H1153" s="26" t="s">
        <v>6223</v>
      </c>
      <c r="I1153" s="26" t="s">
        <v>6225</v>
      </c>
      <c r="J1153" s="26" t="s">
        <v>6224</v>
      </c>
      <c r="K1153" s="27"/>
      <c r="L1153" s="28" t="s">
        <v>6223</v>
      </c>
      <c r="M1153" s="29" t="str">
        <f t="shared" si="85"/>
        <v>✓ OK</v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3565</v>
      </c>
      <c r="C1154" s="44" t="s">
        <v>3566</v>
      </c>
      <c r="D1154" s="42" t="s">
        <v>3416</v>
      </c>
      <c r="E1154" s="46">
        <v>46125</v>
      </c>
      <c r="F1154" s="26" t="s">
        <v>6222</v>
      </c>
      <c r="G1154" s="26" t="s">
        <v>6224</v>
      </c>
      <c r="H1154" s="26" t="s">
        <v>6223</v>
      </c>
      <c r="I1154" s="26" t="s">
        <v>6225</v>
      </c>
      <c r="J1154" s="26" t="s">
        <v>6224</v>
      </c>
      <c r="K1154" s="27"/>
      <c r="L1154" s="28" t="s">
        <v>6223</v>
      </c>
      <c r="M1154" s="29" t="str">
        <f t="shared" si="85"/>
        <v>✓ OK</v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3567</v>
      </c>
      <c r="C1155" s="25" t="s">
        <v>3568</v>
      </c>
      <c r="D1155" s="23" t="s">
        <v>3416</v>
      </c>
      <c r="E1155" s="46">
        <v>46125</v>
      </c>
      <c r="F1155" s="26" t="s">
        <v>6222</v>
      </c>
      <c r="G1155" s="26" t="s">
        <v>6224</v>
      </c>
      <c r="H1155" s="26" t="s">
        <v>6223</v>
      </c>
      <c r="I1155" s="26" t="s">
        <v>6225</v>
      </c>
      <c r="J1155" s="26" t="s">
        <v>6224</v>
      </c>
      <c r="K1155" s="27"/>
      <c r="L1155" s="28" t="s">
        <v>6223</v>
      </c>
      <c r="M1155" s="29" t="str">
        <f t="shared" si="85"/>
        <v>✓ OK</v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3569</v>
      </c>
      <c r="C1156" s="44" t="s">
        <v>3570</v>
      </c>
      <c r="D1156" s="42" t="s">
        <v>3416</v>
      </c>
      <c r="E1156" s="46">
        <v>46125</v>
      </c>
      <c r="F1156" s="26" t="s">
        <v>6222</v>
      </c>
      <c r="G1156" s="26" t="s">
        <v>6224</v>
      </c>
      <c r="H1156" s="26" t="s">
        <v>6223</v>
      </c>
      <c r="I1156" s="26" t="s">
        <v>6225</v>
      </c>
      <c r="J1156" s="26" t="s">
        <v>6224</v>
      </c>
      <c r="K1156" s="27"/>
      <c r="L1156" s="28" t="s">
        <v>6223</v>
      </c>
      <c r="M1156" s="29" t="str">
        <f t="shared" si="85"/>
        <v>✓ OK</v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3571</v>
      </c>
      <c r="C1157" s="25" t="s">
        <v>3572</v>
      </c>
      <c r="D1157" s="23" t="s">
        <v>3416</v>
      </c>
      <c r="E1157" s="46">
        <v>46125</v>
      </c>
      <c r="F1157" s="26" t="s">
        <v>6222</v>
      </c>
      <c r="G1157" s="26" t="s">
        <v>6224</v>
      </c>
      <c r="H1157" s="26" t="s">
        <v>6223</v>
      </c>
      <c r="I1157" s="26" t="s">
        <v>6225</v>
      </c>
      <c r="J1157" s="26" t="s">
        <v>6224</v>
      </c>
      <c r="K1157" s="27"/>
      <c r="L1157" s="28" t="s">
        <v>6223</v>
      </c>
      <c r="M1157" s="29" t="str">
        <f t="shared" ref="M1157:M1220" si="90">IF(E1157="","",IF(H1157="Yes","❌ Disc",IF(G1157="No","⚠ Missing",IF(J1157="Yes","✓ OK","⚠ Check"))))</f>
        <v>✓ OK</v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3573</v>
      </c>
      <c r="C1158" s="44" t="s">
        <v>3574</v>
      </c>
      <c r="D1158" s="42" t="s">
        <v>3416</v>
      </c>
      <c r="E1158" s="46">
        <v>46125</v>
      </c>
      <c r="F1158" s="26" t="s">
        <v>6222</v>
      </c>
      <c r="G1158" s="26" t="s">
        <v>6224</v>
      </c>
      <c r="H1158" s="26" t="s">
        <v>6223</v>
      </c>
      <c r="I1158" s="26" t="s">
        <v>6225</v>
      </c>
      <c r="J1158" s="26" t="s">
        <v>6224</v>
      </c>
      <c r="K1158" s="27"/>
      <c r="L1158" s="28" t="s">
        <v>6223</v>
      </c>
      <c r="M1158" s="29" t="str">
        <f t="shared" si="90"/>
        <v>✓ OK</v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3575</v>
      </c>
      <c r="C1159" s="25" t="s">
        <v>3576</v>
      </c>
      <c r="D1159" s="23" t="s">
        <v>3416</v>
      </c>
      <c r="E1159" s="46">
        <v>46125</v>
      </c>
      <c r="F1159" s="26" t="s">
        <v>6222</v>
      </c>
      <c r="G1159" s="26" t="s">
        <v>6224</v>
      </c>
      <c r="H1159" s="26" t="s">
        <v>6223</v>
      </c>
      <c r="I1159" s="26" t="s">
        <v>6225</v>
      </c>
      <c r="J1159" s="26" t="s">
        <v>6224</v>
      </c>
      <c r="K1159" s="27"/>
      <c r="L1159" s="28" t="s">
        <v>6223</v>
      </c>
      <c r="M1159" s="29" t="str">
        <f t="shared" si="90"/>
        <v>✓ OK</v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3577</v>
      </c>
      <c r="C1160" s="44" t="s">
        <v>3578</v>
      </c>
      <c r="D1160" s="42" t="s">
        <v>3416</v>
      </c>
      <c r="E1160" s="46">
        <v>46125</v>
      </c>
      <c r="F1160" s="26" t="s">
        <v>6222</v>
      </c>
      <c r="G1160" s="26" t="s">
        <v>6224</v>
      </c>
      <c r="H1160" s="26" t="s">
        <v>6223</v>
      </c>
      <c r="I1160" s="26" t="s">
        <v>6225</v>
      </c>
      <c r="J1160" s="26" t="s">
        <v>6224</v>
      </c>
      <c r="K1160" s="27"/>
      <c r="L1160" s="28" t="s">
        <v>6223</v>
      </c>
      <c r="M1160" s="29" t="str">
        <f t="shared" si="90"/>
        <v>✓ OK</v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3579</v>
      </c>
      <c r="C1161" s="25" t="s">
        <v>3580</v>
      </c>
      <c r="D1161" s="23" t="s">
        <v>3416</v>
      </c>
      <c r="E1161" s="46">
        <v>46125</v>
      </c>
      <c r="F1161" s="26" t="s">
        <v>6222</v>
      </c>
      <c r="G1161" s="26" t="s">
        <v>6224</v>
      </c>
      <c r="H1161" s="26" t="s">
        <v>6223</v>
      </c>
      <c r="I1161" s="26" t="s">
        <v>6225</v>
      </c>
      <c r="J1161" s="26" t="s">
        <v>6224</v>
      </c>
      <c r="K1161" s="27"/>
      <c r="L1161" s="28" t="s">
        <v>6223</v>
      </c>
      <c r="M1161" s="29" t="str">
        <f t="shared" si="90"/>
        <v>✓ OK</v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3581</v>
      </c>
      <c r="C1162" s="44" t="s">
        <v>3582</v>
      </c>
      <c r="D1162" s="42" t="s">
        <v>3416</v>
      </c>
      <c r="E1162" s="46">
        <v>46125</v>
      </c>
      <c r="F1162" s="26" t="s">
        <v>6222</v>
      </c>
      <c r="G1162" s="26" t="s">
        <v>6224</v>
      </c>
      <c r="H1162" s="26" t="s">
        <v>6223</v>
      </c>
      <c r="I1162" s="26" t="s">
        <v>6225</v>
      </c>
      <c r="J1162" s="26" t="s">
        <v>6224</v>
      </c>
      <c r="K1162" s="27"/>
      <c r="L1162" s="28" t="s">
        <v>6223</v>
      </c>
      <c r="M1162" s="29" t="str">
        <f t="shared" si="90"/>
        <v>✓ OK</v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3583</v>
      </c>
      <c r="C1163" s="25" t="s">
        <v>3584</v>
      </c>
      <c r="D1163" s="23" t="s">
        <v>3416</v>
      </c>
      <c r="E1163" s="46">
        <v>46125</v>
      </c>
      <c r="F1163" s="26" t="s">
        <v>6222</v>
      </c>
      <c r="G1163" s="26" t="s">
        <v>6224</v>
      </c>
      <c r="H1163" s="26" t="s">
        <v>6223</v>
      </c>
      <c r="I1163" s="26" t="s">
        <v>6225</v>
      </c>
      <c r="J1163" s="26" t="s">
        <v>6224</v>
      </c>
      <c r="K1163" s="27"/>
      <c r="L1163" s="28" t="s">
        <v>6223</v>
      </c>
      <c r="M1163" s="29" t="str">
        <f t="shared" si="90"/>
        <v>✓ OK</v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3585</v>
      </c>
      <c r="C1164" s="44" t="s">
        <v>3586</v>
      </c>
      <c r="D1164" s="42" t="s">
        <v>3416</v>
      </c>
      <c r="E1164" s="46">
        <v>46125</v>
      </c>
      <c r="F1164" s="26" t="s">
        <v>6222</v>
      </c>
      <c r="G1164" s="26" t="s">
        <v>6224</v>
      </c>
      <c r="H1164" s="26" t="s">
        <v>6223</v>
      </c>
      <c r="I1164" s="26" t="s">
        <v>6225</v>
      </c>
      <c r="J1164" s="26" t="s">
        <v>6224</v>
      </c>
      <c r="K1164" s="27"/>
      <c r="L1164" s="28" t="s">
        <v>6223</v>
      </c>
      <c r="M1164" s="29" t="str">
        <f t="shared" si="90"/>
        <v>✓ OK</v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3587</v>
      </c>
      <c r="C1165" s="25" t="s">
        <v>3588</v>
      </c>
      <c r="D1165" s="23" t="s">
        <v>3416</v>
      </c>
      <c r="E1165" s="46">
        <v>46125</v>
      </c>
      <c r="F1165" s="26" t="s">
        <v>6222</v>
      </c>
      <c r="G1165" s="26" t="s">
        <v>6224</v>
      </c>
      <c r="H1165" s="26" t="s">
        <v>6223</v>
      </c>
      <c r="I1165" s="26" t="s">
        <v>6225</v>
      </c>
      <c r="J1165" s="26" t="s">
        <v>6224</v>
      </c>
      <c r="K1165" s="27"/>
      <c r="L1165" s="28" t="s">
        <v>6223</v>
      </c>
      <c r="M1165" s="29" t="str">
        <f t="shared" si="90"/>
        <v>✓ OK</v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3589</v>
      </c>
      <c r="C1166" s="44" t="s">
        <v>3590</v>
      </c>
      <c r="D1166" s="42" t="s">
        <v>3416</v>
      </c>
      <c r="E1166" s="46">
        <v>46125</v>
      </c>
      <c r="F1166" s="26" t="s">
        <v>6222</v>
      </c>
      <c r="G1166" s="26" t="s">
        <v>6224</v>
      </c>
      <c r="H1166" s="26" t="s">
        <v>6223</v>
      </c>
      <c r="I1166" s="26" t="s">
        <v>6225</v>
      </c>
      <c r="J1166" s="26" t="s">
        <v>6224</v>
      </c>
      <c r="K1166" s="27"/>
      <c r="L1166" s="28" t="s">
        <v>6223</v>
      </c>
      <c r="M1166" s="29" t="str">
        <f t="shared" si="90"/>
        <v>✓ OK</v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3591</v>
      </c>
      <c r="C1167" s="25" t="s">
        <v>3592</v>
      </c>
      <c r="D1167" s="23" t="s">
        <v>3416</v>
      </c>
      <c r="E1167" s="46">
        <v>46125</v>
      </c>
      <c r="F1167" s="26" t="s">
        <v>6222</v>
      </c>
      <c r="G1167" s="26" t="s">
        <v>6224</v>
      </c>
      <c r="H1167" s="26" t="s">
        <v>6223</v>
      </c>
      <c r="I1167" s="26" t="s">
        <v>6225</v>
      </c>
      <c r="J1167" s="26" t="s">
        <v>6224</v>
      </c>
      <c r="K1167" s="27"/>
      <c r="L1167" s="28" t="s">
        <v>6223</v>
      </c>
      <c r="M1167" s="29" t="str">
        <f t="shared" si="90"/>
        <v>✓ OK</v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3593</v>
      </c>
      <c r="C1168" s="44" t="s">
        <v>3594</v>
      </c>
      <c r="D1168" s="42" t="s">
        <v>3416</v>
      </c>
      <c r="E1168" s="46">
        <v>46125</v>
      </c>
      <c r="F1168" s="26" t="s">
        <v>6222</v>
      </c>
      <c r="G1168" s="26" t="s">
        <v>6224</v>
      </c>
      <c r="H1168" s="26" t="s">
        <v>6223</v>
      </c>
      <c r="I1168" s="26" t="s">
        <v>6225</v>
      </c>
      <c r="J1168" s="26" t="s">
        <v>6224</v>
      </c>
      <c r="K1168" s="27"/>
      <c r="L1168" s="28" t="s">
        <v>6223</v>
      </c>
      <c r="M1168" s="29" t="str">
        <f t="shared" si="90"/>
        <v>✓ OK</v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3595</v>
      </c>
      <c r="C1169" s="25" t="s">
        <v>3596</v>
      </c>
      <c r="D1169" s="23" t="s">
        <v>3416</v>
      </c>
      <c r="E1169" s="46">
        <v>46125</v>
      </c>
      <c r="F1169" s="26" t="s">
        <v>6222</v>
      </c>
      <c r="G1169" s="26" t="s">
        <v>6224</v>
      </c>
      <c r="H1169" s="26" t="s">
        <v>6223</v>
      </c>
      <c r="I1169" s="26" t="s">
        <v>6225</v>
      </c>
      <c r="J1169" s="26" t="s">
        <v>6224</v>
      </c>
      <c r="K1169" s="27"/>
      <c r="L1169" s="28" t="s">
        <v>6223</v>
      </c>
      <c r="M1169" s="29" t="str">
        <f t="shared" si="90"/>
        <v>✓ OK</v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3597</v>
      </c>
      <c r="C1170" s="44" t="s">
        <v>3598</v>
      </c>
      <c r="D1170" s="42" t="s">
        <v>3416</v>
      </c>
      <c r="E1170" s="46">
        <v>46125</v>
      </c>
      <c r="F1170" s="26" t="s">
        <v>6222</v>
      </c>
      <c r="G1170" s="26" t="s">
        <v>6224</v>
      </c>
      <c r="H1170" s="26" t="s">
        <v>6223</v>
      </c>
      <c r="I1170" s="26" t="s">
        <v>6225</v>
      </c>
      <c r="J1170" s="26" t="s">
        <v>6224</v>
      </c>
      <c r="K1170" s="27"/>
      <c r="L1170" s="28" t="s">
        <v>6223</v>
      </c>
      <c r="M1170" s="29" t="str">
        <f t="shared" si="90"/>
        <v>✓ OK</v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3599</v>
      </c>
      <c r="C1171" s="25" t="s">
        <v>3600</v>
      </c>
      <c r="D1171" s="23" t="s">
        <v>3416</v>
      </c>
      <c r="E1171" s="46">
        <v>46125</v>
      </c>
      <c r="F1171" s="26" t="s">
        <v>6222</v>
      </c>
      <c r="G1171" s="26" t="s">
        <v>6224</v>
      </c>
      <c r="H1171" s="26" t="s">
        <v>6223</v>
      </c>
      <c r="I1171" s="26" t="s">
        <v>6225</v>
      </c>
      <c r="J1171" s="26" t="s">
        <v>6224</v>
      </c>
      <c r="K1171" s="27"/>
      <c r="L1171" s="28" t="s">
        <v>6223</v>
      </c>
      <c r="M1171" s="29" t="str">
        <f t="shared" si="90"/>
        <v>✓ OK</v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3601</v>
      </c>
      <c r="C1172" s="44" t="s">
        <v>3602</v>
      </c>
      <c r="D1172" s="42" t="s">
        <v>3416</v>
      </c>
      <c r="E1172" s="46">
        <v>46125</v>
      </c>
      <c r="F1172" s="26" t="s">
        <v>6222</v>
      </c>
      <c r="G1172" s="26" t="s">
        <v>6224</v>
      </c>
      <c r="H1172" s="26" t="s">
        <v>6223</v>
      </c>
      <c r="I1172" s="26" t="s">
        <v>6225</v>
      </c>
      <c r="J1172" s="26" t="s">
        <v>6224</v>
      </c>
      <c r="K1172" s="27"/>
      <c r="L1172" s="28" t="s">
        <v>6223</v>
      </c>
      <c r="M1172" s="29" t="str">
        <f t="shared" si="90"/>
        <v>✓ OK</v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3603</v>
      </c>
      <c r="C1173" s="25" t="s">
        <v>3604</v>
      </c>
      <c r="D1173" s="23" t="s">
        <v>3416</v>
      </c>
      <c r="E1173" s="46">
        <v>46125</v>
      </c>
      <c r="F1173" s="26" t="s">
        <v>6222</v>
      </c>
      <c r="G1173" s="26" t="s">
        <v>6224</v>
      </c>
      <c r="H1173" s="26" t="s">
        <v>6223</v>
      </c>
      <c r="I1173" s="26" t="s">
        <v>6225</v>
      </c>
      <c r="J1173" s="26" t="s">
        <v>6224</v>
      </c>
      <c r="K1173" s="27"/>
      <c r="L1173" s="28" t="s">
        <v>6223</v>
      </c>
      <c r="M1173" s="29" t="str">
        <f t="shared" si="90"/>
        <v>✓ OK</v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3605</v>
      </c>
      <c r="C1174" s="44" t="s">
        <v>3606</v>
      </c>
      <c r="D1174" s="42" t="s">
        <v>3416</v>
      </c>
      <c r="E1174" s="46">
        <v>46125</v>
      </c>
      <c r="F1174" s="26" t="s">
        <v>6222</v>
      </c>
      <c r="G1174" s="26" t="s">
        <v>6224</v>
      </c>
      <c r="H1174" s="26" t="s">
        <v>6223</v>
      </c>
      <c r="I1174" s="26" t="s">
        <v>6225</v>
      </c>
      <c r="J1174" s="26" t="s">
        <v>6224</v>
      </c>
      <c r="K1174" s="27"/>
      <c r="L1174" s="28" t="s">
        <v>6223</v>
      </c>
      <c r="M1174" s="29" t="str">
        <f t="shared" si="90"/>
        <v>✓ OK</v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3607</v>
      </c>
      <c r="C1175" s="25" t="s">
        <v>3608</v>
      </c>
      <c r="D1175" s="23" t="s">
        <v>3416</v>
      </c>
      <c r="E1175" s="46">
        <v>46125</v>
      </c>
      <c r="F1175" s="26" t="s">
        <v>6222</v>
      </c>
      <c r="G1175" s="26" t="s">
        <v>6224</v>
      </c>
      <c r="H1175" s="26" t="s">
        <v>6223</v>
      </c>
      <c r="I1175" s="26" t="s">
        <v>6225</v>
      </c>
      <c r="J1175" s="26" t="s">
        <v>6224</v>
      </c>
      <c r="K1175" s="27"/>
      <c r="L1175" s="28" t="s">
        <v>6223</v>
      </c>
      <c r="M1175" s="29" t="str">
        <f t="shared" si="90"/>
        <v>✓ OK</v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3609</v>
      </c>
      <c r="C1176" s="44" t="s">
        <v>3610</v>
      </c>
      <c r="D1176" s="42" t="s">
        <v>3416</v>
      </c>
      <c r="E1176" s="46">
        <v>46125</v>
      </c>
      <c r="F1176" s="26" t="s">
        <v>6222</v>
      </c>
      <c r="G1176" s="26" t="s">
        <v>6224</v>
      </c>
      <c r="H1176" s="26" t="s">
        <v>6223</v>
      </c>
      <c r="I1176" s="26" t="s">
        <v>6225</v>
      </c>
      <c r="J1176" s="26" t="s">
        <v>6224</v>
      </c>
      <c r="K1176" s="27"/>
      <c r="L1176" s="28" t="s">
        <v>6223</v>
      </c>
      <c r="M1176" s="29" t="str">
        <f t="shared" si="90"/>
        <v>✓ OK</v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3611</v>
      </c>
      <c r="C1177" s="25" t="s">
        <v>3612</v>
      </c>
      <c r="D1177" s="23" t="s">
        <v>3416</v>
      </c>
      <c r="E1177" s="46">
        <v>46125</v>
      </c>
      <c r="F1177" s="26" t="s">
        <v>6222</v>
      </c>
      <c r="G1177" s="26" t="s">
        <v>6224</v>
      </c>
      <c r="H1177" s="26" t="s">
        <v>6223</v>
      </c>
      <c r="I1177" s="26" t="s">
        <v>6225</v>
      </c>
      <c r="J1177" s="26" t="s">
        <v>6224</v>
      </c>
      <c r="K1177" s="27"/>
      <c r="L1177" s="28" t="s">
        <v>6223</v>
      </c>
      <c r="M1177" s="29" t="str">
        <f t="shared" si="90"/>
        <v>✓ OK</v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3613</v>
      </c>
      <c r="C1178" s="44" t="s">
        <v>3614</v>
      </c>
      <c r="D1178" s="42" t="s">
        <v>3416</v>
      </c>
      <c r="E1178" s="46">
        <v>46125</v>
      </c>
      <c r="F1178" s="26" t="s">
        <v>6222</v>
      </c>
      <c r="G1178" s="26" t="s">
        <v>6224</v>
      </c>
      <c r="H1178" s="26" t="s">
        <v>6223</v>
      </c>
      <c r="I1178" s="26" t="s">
        <v>6225</v>
      </c>
      <c r="J1178" s="26" t="s">
        <v>6224</v>
      </c>
      <c r="K1178" s="27"/>
      <c r="L1178" s="28" t="s">
        <v>6223</v>
      </c>
      <c r="M1178" s="29" t="str">
        <f t="shared" si="90"/>
        <v>✓ OK</v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3615</v>
      </c>
      <c r="C1179" s="25" t="s">
        <v>3616</v>
      </c>
      <c r="D1179" s="23" t="s">
        <v>3416</v>
      </c>
      <c r="E1179" s="46">
        <v>46125</v>
      </c>
      <c r="F1179" s="26" t="s">
        <v>6222</v>
      </c>
      <c r="G1179" s="26" t="s">
        <v>6224</v>
      </c>
      <c r="H1179" s="26" t="s">
        <v>6223</v>
      </c>
      <c r="I1179" s="26" t="s">
        <v>6225</v>
      </c>
      <c r="J1179" s="26" t="s">
        <v>6224</v>
      </c>
      <c r="K1179" s="27"/>
      <c r="L1179" s="28" t="s">
        <v>6223</v>
      </c>
      <c r="M1179" s="29" t="str">
        <f t="shared" si="90"/>
        <v>✓ OK</v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3617</v>
      </c>
      <c r="C1180" s="44" t="s">
        <v>3618</v>
      </c>
      <c r="D1180" s="42" t="s">
        <v>3416</v>
      </c>
      <c r="E1180" s="46">
        <v>46125</v>
      </c>
      <c r="F1180" s="26" t="s">
        <v>6222</v>
      </c>
      <c r="G1180" s="26" t="s">
        <v>6224</v>
      </c>
      <c r="H1180" s="26" t="s">
        <v>6223</v>
      </c>
      <c r="I1180" s="26" t="s">
        <v>6225</v>
      </c>
      <c r="J1180" s="26" t="s">
        <v>6224</v>
      </c>
      <c r="K1180" s="27"/>
      <c r="L1180" s="28" t="s">
        <v>6223</v>
      </c>
      <c r="M1180" s="29" t="str">
        <f t="shared" si="90"/>
        <v>✓ OK</v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3619</v>
      </c>
      <c r="C1181" s="25" t="s">
        <v>3620</v>
      </c>
      <c r="D1181" s="23" t="s">
        <v>3416</v>
      </c>
      <c r="E1181" s="46">
        <v>46125</v>
      </c>
      <c r="F1181" s="26" t="s">
        <v>6222</v>
      </c>
      <c r="G1181" s="26" t="s">
        <v>6224</v>
      </c>
      <c r="H1181" s="26" t="s">
        <v>6223</v>
      </c>
      <c r="I1181" s="26" t="s">
        <v>6225</v>
      </c>
      <c r="J1181" s="26" t="s">
        <v>6224</v>
      </c>
      <c r="K1181" s="27"/>
      <c r="L1181" s="28" t="s">
        <v>6223</v>
      </c>
      <c r="M1181" s="29" t="str">
        <f t="shared" si="90"/>
        <v>✓ OK</v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3621</v>
      </c>
      <c r="C1182" s="44" t="s">
        <v>3622</v>
      </c>
      <c r="D1182" s="42" t="s">
        <v>3416</v>
      </c>
      <c r="E1182" s="46">
        <v>46125</v>
      </c>
      <c r="F1182" s="26" t="s">
        <v>6222</v>
      </c>
      <c r="G1182" s="26" t="s">
        <v>6224</v>
      </c>
      <c r="H1182" s="26" t="s">
        <v>6223</v>
      </c>
      <c r="I1182" s="26" t="s">
        <v>6225</v>
      </c>
      <c r="J1182" s="26" t="s">
        <v>6224</v>
      </c>
      <c r="K1182" s="27"/>
      <c r="L1182" s="28" t="s">
        <v>6223</v>
      </c>
      <c r="M1182" s="29" t="str">
        <f t="shared" si="90"/>
        <v>✓ OK</v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3623</v>
      </c>
      <c r="C1183" s="25" t="s">
        <v>3624</v>
      </c>
      <c r="D1183" s="23" t="s">
        <v>3416</v>
      </c>
      <c r="E1183" s="46">
        <v>46125</v>
      </c>
      <c r="F1183" s="26" t="s">
        <v>6222</v>
      </c>
      <c r="G1183" s="26" t="s">
        <v>6224</v>
      </c>
      <c r="H1183" s="26" t="s">
        <v>6223</v>
      </c>
      <c r="I1183" s="26" t="s">
        <v>6225</v>
      </c>
      <c r="J1183" s="26" t="s">
        <v>6224</v>
      </c>
      <c r="K1183" s="27"/>
      <c r="L1183" s="28" t="s">
        <v>6223</v>
      </c>
      <c r="M1183" s="29" t="str">
        <f t="shared" si="90"/>
        <v>✓ OK</v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3625</v>
      </c>
      <c r="C1184" s="44" t="s">
        <v>3626</v>
      </c>
      <c r="D1184" s="42" t="s">
        <v>3416</v>
      </c>
      <c r="E1184" s="46">
        <v>46125</v>
      </c>
      <c r="F1184" s="26" t="s">
        <v>6222</v>
      </c>
      <c r="G1184" s="26" t="s">
        <v>6224</v>
      </c>
      <c r="H1184" s="26" t="s">
        <v>6223</v>
      </c>
      <c r="I1184" s="26" t="s">
        <v>6225</v>
      </c>
      <c r="J1184" s="26" t="s">
        <v>6224</v>
      </c>
      <c r="K1184" s="27"/>
      <c r="L1184" s="28" t="s">
        <v>6223</v>
      </c>
      <c r="M1184" s="29" t="str">
        <f t="shared" si="90"/>
        <v>✓ OK</v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3627</v>
      </c>
      <c r="C1185" s="25" t="s">
        <v>3628</v>
      </c>
      <c r="D1185" s="23" t="s">
        <v>3416</v>
      </c>
      <c r="E1185" s="46">
        <v>46125</v>
      </c>
      <c r="F1185" s="26" t="s">
        <v>6222</v>
      </c>
      <c r="G1185" s="26" t="s">
        <v>6224</v>
      </c>
      <c r="H1185" s="26" t="s">
        <v>6223</v>
      </c>
      <c r="I1185" s="26" t="s">
        <v>6225</v>
      </c>
      <c r="J1185" s="26" t="s">
        <v>6224</v>
      </c>
      <c r="K1185" s="27"/>
      <c r="L1185" s="28" t="s">
        <v>6223</v>
      </c>
      <c r="M1185" s="29" t="str">
        <f t="shared" si="90"/>
        <v>✓ OK</v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3629</v>
      </c>
      <c r="C1186" s="44" t="s">
        <v>3630</v>
      </c>
      <c r="D1186" s="42" t="s">
        <v>3416</v>
      </c>
      <c r="E1186" s="46">
        <v>46125</v>
      </c>
      <c r="F1186" s="26" t="s">
        <v>6222</v>
      </c>
      <c r="G1186" s="26" t="s">
        <v>6224</v>
      </c>
      <c r="H1186" s="26" t="s">
        <v>6223</v>
      </c>
      <c r="I1186" s="26" t="s">
        <v>6225</v>
      </c>
      <c r="J1186" s="26" t="s">
        <v>6224</v>
      </c>
      <c r="K1186" s="27"/>
      <c r="L1186" s="28" t="s">
        <v>6223</v>
      </c>
      <c r="M1186" s="29" t="str">
        <f t="shared" si="90"/>
        <v>✓ OK</v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3631</v>
      </c>
      <c r="C1187" s="25" t="s">
        <v>3632</v>
      </c>
      <c r="D1187" s="23" t="s">
        <v>3416</v>
      </c>
      <c r="E1187" s="46">
        <v>46125</v>
      </c>
      <c r="F1187" s="26" t="s">
        <v>6222</v>
      </c>
      <c r="G1187" s="26" t="s">
        <v>6224</v>
      </c>
      <c r="H1187" s="26" t="s">
        <v>6223</v>
      </c>
      <c r="I1187" s="26" t="s">
        <v>6225</v>
      </c>
      <c r="J1187" s="26" t="s">
        <v>6224</v>
      </c>
      <c r="K1187" s="27"/>
      <c r="L1187" s="28" t="s">
        <v>6223</v>
      </c>
      <c r="M1187" s="29" t="str">
        <f t="shared" si="90"/>
        <v>✓ OK</v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3633</v>
      </c>
      <c r="C1188" s="44" t="s">
        <v>3634</v>
      </c>
      <c r="D1188" s="42" t="s">
        <v>3416</v>
      </c>
      <c r="E1188" s="46">
        <v>46125</v>
      </c>
      <c r="F1188" s="26" t="s">
        <v>6222</v>
      </c>
      <c r="G1188" s="26" t="s">
        <v>6224</v>
      </c>
      <c r="H1188" s="26" t="s">
        <v>6223</v>
      </c>
      <c r="I1188" s="26" t="s">
        <v>6225</v>
      </c>
      <c r="J1188" s="26" t="s">
        <v>6224</v>
      </c>
      <c r="K1188" s="27"/>
      <c r="L1188" s="28" t="s">
        <v>6223</v>
      </c>
      <c r="M1188" s="29" t="str">
        <f t="shared" si="90"/>
        <v>✓ OK</v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3635</v>
      </c>
      <c r="C1189" s="25" t="s">
        <v>3636</v>
      </c>
      <c r="D1189" s="23" t="s">
        <v>3416</v>
      </c>
      <c r="E1189" s="46">
        <v>46125</v>
      </c>
      <c r="F1189" s="26" t="s">
        <v>6222</v>
      </c>
      <c r="G1189" s="26" t="s">
        <v>6224</v>
      </c>
      <c r="H1189" s="26" t="s">
        <v>6223</v>
      </c>
      <c r="I1189" s="26" t="s">
        <v>6225</v>
      </c>
      <c r="J1189" s="26" t="s">
        <v>6224</v>
      </c>
      <c r="K1189" s="27"/>
      <c r="L1189" s="28" t="s">
        <v>6223</v>
      </c>
      <c r="M1189" s="29" t="str">
        <f t="shared" si="90"/>
        <v>✓ OK</v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3637</v>
      </c>
      <c r="C1190" s="44" t="s">
        <v>3638</v>
      </c>
      <c r="D1190" s="42" t="s">
        <v>3416</v>
      </c>
      <c r="E1190" s="46">
        <v>46125</v>
      </c>
      <c r="F1190" s="26" t="s">
        <v>6222</v>
      </c>
      <c r="G1190" s="26" t="s">
        <v>6224</v>
      </c>
      <c r="H1190" s="26" t="s">
        <v>6223</v>
      </c>
      <c r="I1190" s="26" t="s">
        <v>6225</v>
      </c>
      <c r="J1190" s="26" t="s">
        <v>6224</v>
      </c>
      <c r="K1190" s="27"/>
      <c r="L1190" s="28" t="s">
        <v>6223</v>
      </c>
      <c r="M1190" s="29" t="str">
        <f t="shared" si="90"/>
        <v>✓ OK</v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3639</v>
      </c>
      <c r="C1191" s="25" t="s">
        <v>3640</v>
      </c>
      <c r="D1191" s="23" t="s">
        <v>3416</v>
      </c>
      <c r="E1191" s="46">
        <v>46125</v>
      </c>
      <c r="F1191" s="26" t="s">
        <v>6222</v>
      </c>
      <c r="G1191" s="26" t="s">
        <v>6224</v>
      </c>
      <c r="H1191" s="26" t="s">
        <v>6223</v>
      </c>
      <c r="I1191" s="26" t="s">
        <v>6225</v>
      </c>
      <c r="J1191" s="26" t="s">
        <v>6224</v>
      </c>
      <c r="K1191" s="27"/>
      <c r="L1191" s="28" t="s">
        <v>6223</v>
      </c>
      <c r="M1191" s="29" t="str">
        <f t="shared" si="90"/>
        <v>✓ OK</v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3641</v>
      </c>
      <c r="C1192" s="44" t="s">
        <v>3642</v>
      </c>
      <c r="D1192" s="42" t="s">
        <v>3416</v>
      </c>
      <c r="E1192" s="46">
        <v>46125</v>
      </c>
      <c r="F1192" s="26" t="s">
        <v>6222</v>
      </c>
      <c r="G1192" s="26" t="s">
        <v>6224</v>
      </c>
      <c r="H1192" s="26" t="s">
        <v>6223</v>
      </c>
      <c r="I1192" s="26" t="s">
        <v>6225</v>
      </c>
      <c r="J1192" s="26" t="s">
        <v>6224</v>
      </c>
      <c r="K1192" s="27"/>
      <c r="L1192" s="28" t="s">
        <v>6223</v>
      </c>
      <c r="M1192" s="29" t="str">
        <f t="shared" si="90"/>
        <v>✓ OK</v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3643</v>
      </c>
      <c r="C1193" s="25" t="s">
        <v>3644</v>
      </c>
      <c r="D1193" s="23" t="s">
        <v>3416</v>
      </c>
      <c r="E1193" s="46">
        <v>46125</v>
      </c>
      <c r="F1193" s="26" t="s">
        <v>6222</v>
      </c>
      <c r="G1193" s="26" t="s">
        <v>6224</v>
      </c>
      <c r="H1193" s="26" t="s">
        <v>6223</v>
      </c>
      <c r="I1193" s="26" t="s">
        <v>6225</v>
      </c>
      <c r="J1193" s="26" t="s">
        <v>6224</v>
      </c>
      <c r="K1193" s="27"/>
      <c r="L1193" s="28" t="s">
        <v>6223</v>
      </c>
      <c r="M1193" s="29" t="str">
        <f t="shared" si="90"/>
        <v>✓ OK</v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3645</v>
      </c>
      <c r="C1194" s="44" t="s">
        <v>3646</v>
      </c>
      <c r="D1194" s="42" t="s">
        <v>3416</v>
      </c>
      <c r="E1194" s="46">
        <v>46125</v>
      </c>
      <c r="F1194" s="26" t="s">
        <v>6222</v>
      </c>
      <c r="G1194" s="26" t="s">
        <v>6224</v>
      </c>
      <c r="H1194" s="26" t="s">
        <v>6223</v>
      </c>
      <c r="I1194" s="26" t="s">
        <v>6225</v>
      </c>
      <c r="J1194" s="26" t="s">
        <v>6224</v>
      </c>
      <c r="K1194" s="27"/>
      <c r="L1194" s="28" t="s">
        <v>6223</v>
      </c>
      <c r="M1194" s="29" t="str">
        <f t="shared" si="90"/>
        <v>✓ OK</v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3647</v>
      </c>
      <c r="C1195" s="25" t="s">
        <v>3648</v>
      </c>
      <c r="D1195" s="23" t="s">
        <v>3416</v>
      </c>
      <c r="E1195" s="46">
        <v>46125</v>
      </c>
      <c r="F1195" s="26" t="s">
        <v>6222</v>
      </c>
      <c r="G1195" s="26" t="s">
        <v>6224</v>
      </c>
      <c r="H1195" s="26" t="s">
        <v>6223</v>
      </c>
      <c r="I1195" s="26" t="s">
        <v>6225</v>
      </c>
      <c r="J1195" s="26" t="s">
        <v>6224</v>
      </c>
      <c r="K1195" s="27"/>
      <c r="L1195" s="28" t="s">
        <v>6223</v>
      </c>
      <c r="M1195" s="29" t="str">
        <f t="shared" si="90"/>
        <v>✓ OK</v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3649</v>
      </c>
      <c r="C1196" s="44" t="s">
        <v>3650</v>
      </c>
      <c r="D1196" s="42" t="s">
        <v>3416</v>
      </c>
      <c r="E1196" s="46">
        <v>46125</v>
      </c>
      <c r="F1196" s="26" t="s">
        <v>6222</v>
      </c>
      <c r="G1196" s="26" t="s">
        <v>6224</v>
      </c>
      <c r="H1196" s="26" t="s">
        <v>6223</v>
      </c>
      <c r="I1196" s="26" t="s">
        <v>6225</v>
      </c>
      <c r="J1196" s="26" t="s">
        <v>6224</v>
      </c>
      <c r="K1196" s="27"/>
      <c r="L1196" s="28" t="s">
        <v>6223</v>
      </c>
      <c r="M1196" s="29" t="str">
        <f t="shared" si="90"/>
        <v>✓ OK</v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3651</v>
      </c>
      <c r="C1197" s="25" t="s">
        <v>3652</v>
      </c>
      <c r="D1197" s="23" t="s">
        <v>3416</v>
      </c>
      <c r="E1197" s="46">
        <v>46125</v>
      </c>
      <c r="F1197" s="26" t="s">
        <v>6222</v>
      </c>
      <c r="G1197" s="26" t="s">
        <v>6224</v>
      </c>
      <c r="H1197" s="26" t="s">
        <v>6223</v>
      </c>
      <c r="I1197" s="26" t="s">
        <v>6225</v>
      </c>
      <c r="J1197" s="26" t="s">
        <v>6224</v>
      </c>
      <c r="K1197" s="27"/>
      <c r="L1197" s="28" t="s">
        <v>6223</v>
      </c>
      <c r="M1197" s="29" t="str">
        <f t="shared" si="90"/>
        <v>✓ OK</v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3653</v>
      </c>
      <c r="C1198" s="44" t="s">
        <v>3654</v>
      </c>
      <c r="D1198" s="42" t="s">
        <v>3416</v>
      </c>
      <c r="E1198" s="46">
        <v>46125</v>
      </c>
      <c r="F1198" s="26" t="s">
        <v>6222</v>
      </c>
      <c r="G1198" s="26" t="s">
        <v>6224</v>
      </c>
      <c r="H1198" s="26" t="s">
        <v>6223</v>
      </c>
      <c r="I1198" s="26" t="s">
        <v>6225</v>
      </c>
      <c r="J1198" s="26" t="s">
        <v>6224</v>
      </c>
      <c r="K1198" s="27"/>
      <c r="L1198" s="28" t="s">
        <v>6223</v>
      </c>
      <c r="M1198" s="29" t="str">
        <f t="shared" si="90"/>
        <v>✓ OK</v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3655</v>
      </c>
      <c r="C1199" s="25" t="s">
        <v>3656</v>
      </c>
      <c r="D1199" s="23" t="s">
        <v>3416</v>
      </c>
      <c r="E1199" s="46">
        <v>46125</v>
      </c>
      <c r="F1199" s="26" t="s">
        <v>6222</v>
      </c>
      <c r="G1199" s="26" t="s">
        <v>6224</v>
      </c>
      <c r="H1199" s="26" t="s">
        <v>6223</v>
      </c>
      <c r="I1199" s="26" t="s">
        <v>6225</v>
      </c>
      <c r="J1199" s="26" t="s">
        <v>6224</v>
      </c>
      <c r="K1199" s="27"/>
      <c r="L1199" s="28" t="s">
        <v>6223</v>
      </c>
      <c r="M1199" s="29" t="str">
        <f t="shared" si="90"/>
        <v>✓ OK</v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3657</v>
      </c>
      <c r="C1200" s="44" t="s">
        <v>3658</v>
      </c>
      <c r="D1200" s="42" t="s">
        <v>3416</v>
      </c>
      <c r="E1200" s="46">
        <v>46125</v>
      </c>
      <c r="F1200" s="26" t="s">
        <v>6222</v>
      </c>
      <c r="G1200" s="26" t="s">
        <v>6224</v>
      </c>
      <c r="H1200" s="26" t="s">
        <v>6223</v>
      </c>
      <c r="I1200" s="26" t="s">
        <v>6225</v>
      </c>
      <c r="J1200" s="26" t="s">
        <v>6224</v>
      </c>
      <c r="K1200" s="27"/>
      <c r="L1200" s="28" t="s">
        <v>6223</v>
      </c>
      <c r="M1200" s="29" t="str">
        <f t="shared" si="90"/>
        <v>✓ OK</v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3659</v>
      </c>
      <c r="C1201" s="25" t="s">
        <v>3660</v>
      </c>
      <c r="D1201" s="23" t="s">
        <v>3416</v>
      </c>
      <c r="E1201" s="46">
        <v>46125</v>
      </c>
      <c r="F1201" s="26" t="s">
        <v>6222</v>
      </c>
      <c r="G1201" s="26" t="s">
        <v>6224</v>
      </c>
      <c r="H1201" s="26" t="s">
        <v>6223</v>
      </c>
      <c r="I1201" s="26" t="s">
        <v>6225</v>
      </c>
      <c r="J1201" s="26" t="s">
        <v>6224</v>
      </c>
      <c r="K1201" s="27"/>
      <c r="L1201" s="28" t="s">
        <v>6223</v>
      </c>
      <c r="M1201" s="29" t="str">
        <f t="shared" si="90"/>
        <v>✓ OK</v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3661</v>
      </c>
      <c r="C1202" s="44" t="s">
        <v>3662</v>
      </c>
      <c r="D1202" s="42" t="s">
        <v>3416</v>
      </c>
      <c r="E1202" s="46">
        <v>46125</v>
      </c>
      <c r="F1202" s="26" t="s">
        <v>6222</v>
      </c>
      <c r="G1202" s="26" t="s">
        <v>6224</v>
      </c>
      <c r="H1202" s="26" t="s">
        <v>6223</v>
      </c>
      <c r="I1202" s="26" t="s">
        <v>6225</v>
      </c>
      <c r="J1202" s="26" t="s">
        <v>6224</v>
      </c>
      <c r="K1202" s="27"/>
      <c r="L1202" s="28" t="s">
        <v>6223</v>
      </c>
      <c r="M1202" s="29" t="str">
        <f t="shared" si="90"/>
        <v>✓ OK</v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3663</v>
      </c>
      <c r="C1203" s="25" t="s">
        <v>3664</v>
      </c>
      <c r="D1203" s="23" t="s">
        <v>3416</v>
      </c>
      <c r="E1203" s="46">
        <v>46125</v>
      </c>
      <c r="F1203" s="26" t="s">
        <v>6222</v>
      </c>
      <c r="G1203" s="26" t="s">
        <v>6224</v>
      </c>
      <c r="H1203" s="26" t="s">
        <v>6223</v>
      </c>
      <c r="I1203" s="26" t="s">
        <v>6225</v>
      </c>
      <c r="J1203" s="26" t="s">
        <v>6224</v>
      </c>
      <c r="K1203" s="27"/>
      <c r="L1203" s="28" t="s">
        <v>6223</v>
      </c>
      <c r="M1203" s="29" t="str">
        <f t="shared" si="90"/>
        <v>✓ OK</v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3665</v>
      </c>
      <c r="C1204" s="44" t="s">
        <v>3666</v>
      </c>
      <c r="D1204" s="42" t="s">
        <v>3416</v>
      </c>
      <c r="E1204" s="46">
        <v>46125</v>
      </c>
      <c r="F1204" s="26" t="s">
        <v>6222</v>
      </c>
      <c r="G1204" s="26" t="s">
        <v>6224</v>
      </c>
      <c r="H1204" s="26" t="s">
        <v>6223</v>
      </c>
      <c r="I1204" s="26" t="s">
        <v>6225</v>
      </c>
      <c r="J1204" s="26" t="s">
        <v>6224</v>
      </c>
      <c r="K1204" s="27"/>
      <c r="L1204" s="28" t="s">
        <v>6223</v>
      </c>
      <c r="M1204" s="29" t="str">
        <f t="shared" si="90"/>
        <v>✓ OK</v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3667</v>
      </c>
      <c r="C1205" s="25" t="s">
        <v>3668</v>
      </c>
      <c r="D1205" s="23" t="s">
        <v>3416</v>
      </c>
      <c r="E1205" s="46">
        <v>46125</v>
      </c>
      <c r="F1205" s="26" t="s">
        <v>6222</v>
      </c>
      <c r="G1205" s="26" t="s">
        <v>6224</v>
      </c>
      <c r="H1205" s="26" t="s">
        <v>6223</v>
      </c>
      <c r="I1205" s="26" t="s">
        <v>6225</v>
      </c>
      <c r="J1205" s="26" t="s">
        <v>6224</v>
      </c>
      <c r="K1205" s="27"/>
      <c r="L1205" s="28" t="s">
        <v>6223</v>
      </c>
      <c r="M1205" s="29" t="str">
        <f t="shared" si="90"/>
        <v>✓ OK</v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3669</v>
      </c>
      <c r="C1206" s="44" t="s">
        <v>3670</v>
      </c>
      <c r="D1206" s="42" t="s">
        <v>3416</v>
      </c>
      <c r="E1206" s="46">
        <v>46125</v>
      </c>
      <c r="F1206" s="26" t="s">
        <v>6222</v>
      </c>
      <c r="G1206" s="26" t="s">
        <v>6224</v>
      </c>
      <c r="H1206" s="26" t="s">
        <v>6223</v>
      </c>
      <c r="I1206" s="26" t="s">
        <v>6225</v>
      </c>
      <c r="J1206" s="26" t="s">
        <v>6224</v>
      </c>
      <c r="K1206" s="27"/>
      <c r="L1206" s="28" t="s">
        <v>6223</v>
      </c>
      <c r="M1206" s="29" t="str">
        <f t="shared" si="90"/>
        <v>✓ OK</v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3671</v>
      </c>
      <c r="C1207" s="25" t="s">
        <v>3672</v>
      </c>
      <c r="D1207" s="23" t="s">
        <v>3416</v>
      </c>
      <c r="E1207" s="46">
        <v>46125</v>
      </c>
      <c r="F1207" s="26" t="s">
        <v>6222</v>
      </c>
      <c r="G1207" s="26" t="s">
        <v>6224</v>
      </c>
      <c r="H1207" s="26" t="s">
        <v>6223</v>
      </c>
      <c r="I1207" s="26" t="s">
        <v>6225</v>
      </c>
      <c r="J1207" s="26" t="s">
        <v>6224</v>
      </c>
      <c r="K1207" s="27"/>
      <c r="L1207" s="28" t="s">
        <v>6223</v>
      </c>
      <c r="M1207" s="29" t="str">
        <f t="shared" si="90"/>
        <v>✓ OK</v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3673</v>
      </c>
      <c r="C1208" s="44" t="s">
        <v>3674</v>
      </c>
      <c r="D1208" s="42" t="s">
        <v>3416</v>
      </c>
      <c r="E1208" s="46">
        <v>46125</v>
      </c>
      <c r="F1208" s="26" t="s">
        <v>6222</v>
      </c>
      <c r="G1208" s="26" t="s">
        <v>6224</v>
      </c>
      <c r="H1208" s="26" t="s">
        <v>6223</v>
      </c>
      <c r="I1208" s="26" t="s">
        <v>6225</v>
      </c>
      <c r="J1208" s="26" t="s">
        <v>6224</v>
      </c>
      <c r="K1208" s="27"/>
      <c r="L1208" s="28" t="s">
        <v>6223</v>
      </c>
      <c r="M1208" s="29" t="str">
        <f t="shared" si="90"/>
        <v>✓ OK</v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3675</v>
      </c>
      <c r="C1209" s="25" t="s">
        <v>3676</v>
      </c>
      <c r="D1209" s="23" t="s">
        <v>3416</v>
      </c>
      <c r="E1209" s="46">
        <v>46125</v>
      </c>
      <c r="F1209" s="26" t="s">
        <v>6222</v>
      </c>
      <c r="G1209" s="26" t="s">
        <v>6224</v>
      </c>
      <c r="H1209" s="26" t="s">
        <v>6223</v>
      </c>
      <c r="I1209" s="26" t="s">
        <v>6225</v>
      </c>
      <c r="J1209" s="26" t="s">
        <v>6224</v>
      </c>
      <c r="K1209" s="27"/>
      <c r="L1209" s="28" t="s">
        <v>6223</v>
      </c>
      <c r="M1209" s="29" t="str">
        <f t="shared" si="90"/>
        <v>✓ OK</v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3677</v>
      </c>
      <c r="C1210" s="44" t="s">
        <v>3678</v>
      </c>
      <c r="D1210" s="42" t="s">
        <v>3416</v>
      </c>
      <c r="E1210" s="46">
        <v>46125</v>
      </c>
      <c r="F1210" s="26" t="s">
        <v>6222</v>
      </c>
      <c r="G1210" s="26" t="s">
        <v>6224</v>
      </c>
      <c r="H1210" s="26" t="s">
        <v>6223</v>
      </c>
      <c r="I1210" s="26" t="s">
        <v>6225</v>
      </c>
      <c r="J1210" s="26" t="s">
        <v>6224</v>
      </c>
      <c r="K1210" s="27"/>
      <c r="L1210" s="28" t="s">
        <v>6223</v>
      </c>
      <c r="M1210" s="29" t="str">
        <f t="shared" si="90"/>
        <v>✓ OK</v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3679</v>
      </c>
      <c r="C1211" s="25" t="s">
        <v>3680</v>
      </c>
      <c r="D1211" s="23" t="s">
        <v>3416</v>
      </c>
      <c r="E1211" s="46">
        <v>46125</v>
      </c>
      <c r="F1211" s="26" t="s">
        <v>6222</v>
      </c>
      <c r="G1211" s="26" t="s">
        <v>6224</v>
      </c>
      <c r="H1211" s="26" t="s">
        <v>6223</v>
      </c>
      <c r="I1211" s="26" t="s">
        <v>6225</v>
      </c>
      <c r="J1211" s="26" t="s">
        <v>6224</v>
      </c>
      <c r="K1211" s="27"/>
      <c r="L1211" s="28" t="s">
        <v>6223</v>
      </c>
      <c r="M1211" s="29" t="str">
        <f t="shared" si="90"/>
        <v>✓ OK</v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3681</v>
      </c>
      <c r="C1212" s="44" t="s">
        <v>3682</v>
      </c>
      <c r="D1212" s="42" t="s">
        <v>3416</v>
      </c>
      <c r="E1212" s="46">
        <v>46125</v>
      </c>
      <c r="F1212" s="26" t="s">
        <v>6222</v>
      </c>
      <c r="G1212" s="26" t="s">
        <v>6224</v>
      </c>
      <c r="H1212" s="26" t="s">
        <v>6223</v>
      </c>
      <c r="I1212" s="26" t="s">
        <v>6225</v>
      </c>
      <c r="J1212" s="26" t="s">
        <v>6224</v>
      </c>
      <c r="K1212" s="27"/>
      <c r="L1212" s="28" t="s">
        <v>6223</v>
      </c>
      <c r="M1212" s="29" t="str">
        <f t="shared" si="90"/>
        <v>✓ OK</v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3683</v>
      </c>
      <c r="C1213" s="25" t="s">
        <v>3684</v>
      </c>
      <c r="D1213" s="23" t="s">
        <v>3416</v>
      </c>
      <c r="E1213" s="46">
        <v>46125</v>
      </c>
      <c r="F1213" s="26" t="s">
        <v>6222</v>
      </c>
      <c r="G1213" s="26" t="s">
        <v>6224</v>
      </c>
      <c r="H1213" s="26" t="s">
        <v>6223</v>
      </c>
      <c r="I1213" s="26" t="s">
        <v>6225</v>
      </c>
      <c r="J1213" s="26" t="s">
        <v>6224</v>
      </c>
      <c r="K1213" s="27"/>
      <c r="L1213" s="28" t="s">
        <v>6223</v>
      </c>
      <c r="M1213" s="29" t="str">
        <f t="shared" si="90"/>
        <v>✓ OK</v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3685</v>
      </c>
      <c r="C1214" s="44" t="s">
        <v>3686</v>
      </c>
      <c r="D1214" s="42" t="s">
        <v>3416</v>
      </c>
      <c r="E1214" s="46">
        <v>46125</v>
      </c>
      <c r="F1214" s="26" t="s">
        <v>6222</v>
      </c>
      <c r="G1214" s="26" t="s">
        <v>6224</v>
      </c>
      <c r="H1214" s="26" t="s">
        <v>6223</v>
      </c>
      <c r="I1214" s="26" t="s">
        <v>6225</v>
      </c>
      <c r="J1214" s="26" t="s">
        <v>6224</v>
      </c>
      <c r="K1214" s="27"/>
      <c r="L1214" s="28" t="s">
        <v>6223</v>
      </c>
      <c r="M1214" s="29" t="str">
        <f t="shared" si="90"/>
        <v>✓ OK</v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3687</v>
      </c>
      <c r="C1215" s="25" t="s">
        <v>3688</v>
      </c>
      <c r="D1215" s="23" t="s">
        <v>3416</v>
      </c>
      <c r="E1215" s="46">
        <v>46125</v>
      </c>
      <c r="F1215" s="26" t="s">
        <v>6222</v>
      </c>
      <c r="G1215" s="26" t="s">
        <v>6224</v>
      </c>
      <c r="H1215" s="26" t="s">
        <v>6223</v>
      </c>
      <c r="I1215" s="26" t="s">
        <v>6225</v>
      </c>
      <c r="J1215" s="26" t="s">
        <v>6224</v>
      </c>
      <c r="K1215" s="27"/>
      <c r="L1215" s="28" t="s">
        <v>6223</v>
      </c>
      <c r="M1215" s="29" t="str">
        <f t="shared" si="90"/>
        <v>✓ OK</v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3689</v>
      </c>
      <c r="C1216" s="44" t="s">
        <v>3690</v>
      </c>
      <c r="D1216" s="42" t="s">
        <v>3416</v>
      </c>
      <c r="E1216" s="46">
        <v>46125</v>
      </c>
      <c r="F1216" s="26" t="s">
        <v>6222</v>
      </c>
      <c r="G1216" s="26" t="s">
        <v>6224</v>
      </c>
      <c r="H1216" s="26" t="s">
        <v>6223</v>
      </c>
      <c r="I1216" s="26" t="s">
        <v>6225</v>
      </c>
      <c r="J1216" s="26" t="s">
        <v>6224</v>
      </c>
      <c r="K1216" s="27"/>
      <c r="L1216" s="28" t="s">
        <v>6223</v>
      </c>
      <c r="M1216" s="29" t="str">
        <f t="shared" si="90"/>
        <v>✓ OK</v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3691</v>
      </c>
      <c r="C1217" s="25" t="s">
        <v>3692</v>
      </c>
      <c r="D1217" s="23" t="s">
        <v>3416</v>
      </c>
      <c r="E1217" s="46">
        <v>46125</v>
      </c>
      <c r="F1217" s="26" t="s">
        <v>6222</v>
      </c>
      <c r="G1217" s="26" t="s">
        <v>6224</v>
      </c>
      <c r="H1217" s="26" t="s">
        <v>6223</v>
      </c>
      <c r="I1217" s="26" t="s">
        <v>6225</v>
      </c>
      <c r="J1217" s="26" t="s">
        <v>6224</v>
      </c>
      <c r="K1217" s="27"/>
      <c r="L1217" s="28" t="s">
        <v>6223</v>
      </c>
      <c r="M1217" s="29" t="str">
        <f t="shared" si="90"/>
        <v>✓ OK</v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3693</v>
      </c>
      <c r="C1218" s="44" t="s">
        <v>3694</v>
      </c>
      <c r="D1218" s="42" t="s">
        <v>3416</v>
      </c>
      <c r="E1218" s="46">
        <v>46125</v>
      </c>
      <c r="F1218" s="26" t="s">
        <v>6222</v>
      </c>
      <c r="G1218" s="26" t="s">
        <v>6224</v>
      </c>
      <c r="H1218" s="26" t="s">
        <v>6223</v>
      </c>
      <c r="I1218" s="26" t="s">
        <v>6225</v>
      </c>
      <c r="J1218" s="26" t="s">
        <v>6224</v>
      </c>
      <c r="K1218" s="27"/>
      <c r="L1218" s="28" t="s">
        <v>6223</v>
      </c>
      <c r="M1218" s="29" t="str">
        <f t="shared" si="90"/>
        <v>✓ OK</v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3695</v>
      </c>
      <c r="C1219" s="25" t="s">
        <v>3696</v>
      </c>
      <c r="D1219" s="23" t="s">
        <v>3416</v>
      </c>
      <c r="E1219" s="46">
        <v>46125</v>
      </c>
      <c r="F1219" s="26" t="s">
        <v>6222</v>
      </c>
      <c r="G1219" s="26" t="s">
        <v>6224</v>
      </c>
      <c r="H1219" s="26" t="s">
        <v>6223</v>
      </c>
      <c r="I1219" s="26" t="s">
        <v>6225</v>
      </c>
      <c r="J1219" s="26" t="s">
        <v>6224</v>
      </c>
      <c r="K1219" s="27"/>
      <c r="L1219" s="28" t="s">
        <v>6223</v>
      </c>
      <c r="M1219" s="29" t="str">
        <f t="shared" si="90"/>
        <v>✓ OK</v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3697</v>
      </c>
      <c r="C1220" s="44" t="s">
        <v>3698</v>
      </c>
      <c r="D1220" s="42" t="s">
        <v>3416</v>
      </c>
      <c r="E1220" s="46">
        <v>46125</v>
      </c>
      <c r="F1220" s="26" t="s">
        <v>6222</v>
      </c>
      <c r="G1220" s="26" t="s">
        <v>6224</v>
      </c>
      <c r="H1220" s="26" t="s">
        <v>6223</v>
      </c>
      <c r="I1220" s="26" t="s">
        <v>6225</v>
      </c>
      <c r="J1220" s="26" t="s">
        <v>6224</v>
      </c>
      <c r="K1220" s="27"/>
      <c r="L1220" s="28" t="s">
        <v>6223</v>
      </c>
      <c r="M1220" s="29" t="str">
        <f t="shared" si="90"/>
        <v>✓ OK</v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3699</v>
      </c>
      <c r="C1221" s="25" t="s">
        <v>3700</v>
      </c>
      <c r="D1221" s="23" t="s">
        <v>3416</v>
      </c>
      <c r="E1221" s="46">
        <v>46125</v>
      </c>
      <c r="F1221" s="26" t="s">
        <v>6222</v>
      </c>
      <c r="G1221" s="26" t="s">
        <v>6224</v>
      </c>
      <c r="H1221" s="26" t="s">
        <v>6223</v>
      </c>
      <c r="I1221" s="26" t="s">
        <v>6225</v>
      </c>
      <c r="J1221" s="26" t="s">
        <v>6224</v>
      </c>
      <c r="K1221" s="27"/>
      <c r="L1221" s="28" t="s">
        <v>6223</v>
      </c>
      <c r="M1221" s="29" t="str">
        <f t="shared" ref="M1221:M1284" si="95">IF(E1221="","",IF(H1221="Yes","❌ Disc",IF(G1221="No","⚠ Missing",IF(J1221="Yes","✓ OK","⚠ Check"))))</f>
        <v>✓ OK</v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3701</v>
      </c>
      <c r="C1222" s="44" t="s">
        <v>3702</v>
      </c>
      <c r="D1222" s="42" t="s">
        <v>3416</v>
      </c>
      <c r="E1222" s="46">
        <v>46125</v>
      </c>
      <c r="F1222" s="26" t="s">
        <v>6222</v>
      </c>
      <c r="G1222" s="26" t="s">
        <v>6224</v>
      </c>
      <c r="H1222" s="26" t="s">
        <v>6223</v>
      </c>
      <c r="I1222" s="26" t="s">
        <v>6225</v>
      </c>
      <c r="J1222" s="26" t="s">
        <v>6224</v>
      </c>
      <c r="K1222" s="27"/>
      <c r="L1222" s="28" t="s">
        <v>6223</v>
      </c>
      <c r="M1222" s="29" t="str">
        <f t="shared" si="95"/>
        <v>✓ OK</v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3703</v>
      </c>
      <c r="C1223" s="25" t="s">
        <v>3704</v>
      </c>
      <c r="D1223" s="23" t="s">
        <v>3416</v>
      </c>
      <c r="E1223" s="46">
        <v>46125</v>
      </c>
      <c r="F1223" s="26" t="s">
        <v>6222</v>
      </c>
      <c r="G1223" s="26" t="s">
        <v>6224</v>
      </c>
      <c r="H1223" s="26" t="s">
        <v>6223</v>
      </c>
      <c r="I1223" s="26" t="s">
        <v>6225</v>
      </c>
      <c r="J1223" s="26" t="s">
        <v>6224</v>
      </c>
      <c r="K1223" s="27"/>
      <c r="L1223" s="28" t="s">
        <v>6223</v>
      </c>
      <c r="M1223" s="29" t="str">
        <f t="shared" si="95"/>
        <v>✓ OK</v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3705</v>
      </c>
      <c r="C1224" s="44" t="s">
        <v>3706</v>
      </c>
      <c r="D1224" s="42" t="s">
        <v>3416</v>
      </c>
      <c r="E1224" s="46">
        <v>46125</v>
      </c>
      <c r="F1224" s="26" t="s">
        <v>6222</v>
      </c>
      <c r="G1224" s="26" t="s">
        <v>6224</v>
      </c>
      <c r="H1224" s="26" t="s">
        <v>6223</v>
      </c>
      <c r="I1224" s="26" t="s">
        <v>6225</v>
      </c>
      <c r="J1224" s="26" t="s">
        <v>6224</v>
      </c>
      <c r="K1224" s="27"/>
      <c r="L1224" s="28" t="s">
        <v>6223</v>
      </c>
      <c r="M1224" s="29" t="str">
        <f t="shared" si="95"/>
        <v>✓ OK</v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3707</v>
      </c>
      <c r="C1225" s="25" t="s">
        <v>3708</v>
      </c>
      <c r="D1225" s="23" t="s">
        <v>3416</v>
      </c>
      <c r="E1225" s="46">
        <v>46125</v>
      </c>
      <c r="F1225" s="26" t="s">
        <v>6222</v>
      </c>
      <c r="G1225" s="26" t="s">
        <v>6224</v>
      </c>
      <c r="H1225" s="26" t="s">
        <v>6223</v>
      </c>
      <c r="I1225" s="26" t="s">
        <v>6225</v>
      </c>
      <c r="J1225" s="26" t="s">
        <v>6224</v>
      </c>
      <c r="K1225" s="27"/>
      <c r="L1225" s="28" t="s">
        <v>6223</v>
      </c>
      <c r="M1225" s="29" t="str">
        <f t="shared" si="95"/>
        <v>✓ OK</v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3709</v>
      </c>
      <c r="C1226" s="44" t="s">
        <v>3710</v>
      </c>
      <c r="D1226" s="42" t="s">
        <v>3416</v>
      </c>
      <c r="E1226" s="46">
        <v>46125</v>
      </c>
      <c r="F1226" s="26" t="s">
        <v>6222</v>
      </c>
      <c r="G1226" s="26" t="s">
        <v>6224</v>
      </c>
      <c r="H1226" s="26" t="s">
        <v>6223</v>
      </c>
      <c r="I1226" s="26" t="s">
        <v>6225</v>
      </c>
      <c r="J1226" s="26" t="s">
        <v>6224</v>
      </c>
      <c r="K1226" s="27"/>
      <c r="L1226" s="28" t="s">
        <v>6223</v>
      </c>
      <c r="M1226" s="29" t="str">
        <f t="shared" si="95"/>
        <v>✓ OK</v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3711</v>
      </c>
      <c r="C1227" s="25" t="s">
        <v>3712</v>
      </c>
      <c r="D1227" s="23" t="s">
        <v>3416</v>
      </c>
      <c r="E1227" s="46">
        <v>46125</v>
      </c>
      <c r="F1227" s="26" t="s">
        <v>6222</v>
      </c>
      <c r="G1227" s="26" t="s">
        <v>6224</v>
      </c>
      <c r="H1227" s="26" t="s">
        <v>6223</v>
      </c>
      <c r="I1227" s="26" t="s">
        <v>6225</v>
      </c>
      <c r="J1227" s="26" t="s">
        <v>6224</v>
      </c>
      <c r="K1227" s="27"/>
      <c r="L1227" s="28" t="s">
        <v>6223</v>
      </c>
      <c r="M1227" s="29" t="str">
        <f t="shared" si="95"/>
        <v>✓ OK</v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3713</v>
      </c>
      <c r="C1228" s="44" t="s">
        <v>3714</v>
      </c>
      <c r="D1228" s="42" t="s">
        <v>3416</v>
      </c>
      <c r="E1228" s="46">
        <v>46125</v>
      </c>
      <c r="F1228" s="26" t="s">
        <v>6222</v>
      </c>
      <c r="G1228" s="26" t="s">
        <v>6224</v>
      </c>
      <c r="H1228" s="26" t="s">
        <v>6223</v>
      </c>
      <c r="I1228" s="26" t="s">
        <v>6225</v>
      </c>
      <c r="J1228" s="26" t="s">
        <v>6224</v>
      </c>
      <c r="K1228" s="27"/>
      <c r="L1228" s="28" t="s">
        <v>6223</v>
      </c>
      <c r="M1228" s="29" t="str">
        <f t="shared" si="95"/>
        <v>✓ OK</v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3715</v>
      </c>
      <c r="C1229" s="25" t="s">
        <v>3716</v>
      </c>
      <c r="D1229" s="23" t="s">
        <v>3416</v>
      </c>
      <c r="E1229" s="46">
        <v>46125</v>
      </c>
      <c r="F1229" s="26" t="s">
        <v>6222</v>
      </c>
      <c r="G1229" s="26" t="s">
        <v>6224</v>
      </c>
      <c r="H1229" s="26" t="s">
        <v>6223</v>
      </c>
      <c r="I1229" s="26" t="s">
        <v>6225</v>
      </c>
      <c r="J1229" s="26" t="s">
        <v>6224</v>
      </c>
      <c r="K1229" s="27"/>
      <c r="L1229" s="28" t="s">
        <v>6223</v>
      </c>
      <c r="M1229" s="29" t="str">
        <f t="shared" si="95"/>
        <v>✓ OK</v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3717</v>
      </c>
      <c r="C1230" s="44" t="s">
        <v>3718</v>
      </c>
      <c r="D1230" s="42" t="s">
        <v>3416</v>
      </c>
      <c r="E1230" s="46">
        <v>46125</v>
      </c>
      <c r="F1230" s="26" t="s">
        <v>6222</v>
      </c>
      <c r="G1230" s="26" t="s">
        <v>6224</v>
      </c>
      <c r="H1230" s="26" t="s">
        <v>6223</v>
      </c>
      <c r="I1230" s="26" t="s">
        <v>6225</v>
      </c>
      <c r="J1230" s="26" t="s">
        <v>6224</v>
      </c>
      <c r="K1230" s="27"/>
      <c r="L1230" s="28" t="s">
        <v>6223</v>
      </c>
      <c r="M1230" s="29" t="str">
        <f t="shared" si="95"/>
        <v>✓ OK</v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3719</v>
      </c>
      <c r="C1231" s="25" t="s">
        <v>3720</v>
      </c>
      <c r="D1231" s="23" t="s">
        <v>3416</v>
      </c>
      <c r="E1231" s="46">
        <v>46125</v>
      </c>
      <c r="F1231" s="26" t="s">
        <v>6222</v>
      </c>
      <c r="G1231" s="26" t="s">
        <v>6224</v>
      </c>
      <c r="H1231" s="26" t="s">
        <v>6223</v>
      </c>
      <c r="I1231" s="26" t="s">
        <v>6225</v>
      </c>
      <c r="J1231" s="26" t="s">
        <v>6224</v>
      </c>
      <c r="K1231" s="27"/>
      <c r="L1231" s="28" t="s">
        <v>6223</v>
      </c>
      <c r="M1231" s="29" t="str">
        <f t="shared" si="95"/>
        <v>✓ OK</v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3721</v>
      </c>
      <c r="C1232" s="44" t="s">
        <v>3722</v>
      </c>
      <c r="D1232" s="42" t="s">
        <v>3416</v>
      </c>
      <c r="E1232" s="46">
        <v>46125</v>
      </c>
      <c r="F1232" s="26" t="s">
        <v>6222</v>
      </c>
      <c r="G1232" s="26" t="s">
        <v>6224</v>
      </c>
      <c r="H1232" s="26" t="s">
        <v>6223</v>
      </c>
      <c r="I1232" s="26" t="s">
        <v>6225</v>
      </c>
      <c r="J1232" s="26" t="s">
        <v>6224</v>
      </c>
      <c r="K1232" s="27"/>
      <c r="L1232" s="28" t="s">
        <v>6223</v>
      </c>
      <c r="M1232" s="29" t="str">
        <f t="shared" si="95"/>
        <v>✓ OK</v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3723</v>
      </c>
      <c r="C1233" s="25" t="s">
        <v>3724</v>
      </c>
      <c r="D1233" s="23" t="s">
        <v>3416</v>
      </c>
      <c r="E1233" s="46">
        <v>46125</v>
      </c>
      <c r="F1233" s="26" t="s">
        <v>6222</v>
      </c>
      <c r="G1233" s="26" t="s">
        <v>6224</v>
      </c>
      <c r="H1233" s="26" t="s">
        <v>6223</v>
      </c>
      <c r="I1233" s="26" t="s">
        <v>6225</v>
      </c>
      <c r="J1233" s="26" t="s">
        <v>6224</v>
      </c>
      <c r="K1233" s="27"/>
      <c r="L1233" s="28" t="s">
        <v>6223</v>
      </c>
      <c r="M1233" s="29" t="str">
        <f t="shared" si="95"/>
        <v>✓ OK</v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3725</v>
      </c>
      <c r="C1234" s="44" t="s">
        <v>3726</v>
      </c>
      <c r="D1234" s="42" t="s">
        <v>3416</v>
      </c>
      <c r="E1234" s="46">
        <v>46125</v>
      </c>
      <c r="F1234" s="26" t="s">
        <v>6222</v>
      </c>
      <c r="G1234" s="26" t="s">
        <v>6224</v>
      </c>
      <c r="H1234" s="26" t="s">
        <v>6223</v>
      </c>
      <c r="I1234" s="26" t="s">
        <v>6225</v>
      </c>
      <c r="J1234" s="26" t="s">
        <v>6224</v>
      </c>
      <c r="K1234" s="27"/>
      <c r="L1234" s="28" t="s">
        <v>6223</v>
      </c>
      <c r="M1234" s="29" t="str">
        <f t="shared" si="95"/>
        <v>✓ OK</v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3727</v>
      </c>
      <c r="C1235" s="25" t="s">
        <v>3728</v>
      </c>
      <c r="D1235" s="23" t="s">
        <v>3416</v>
      </c>
      <c r="E1235" s="46">
        <v>46125</v>
      </c>
      <c r="F1235" s="26" t="s">
        <v>6222</v>
      </c>
      <c r="G1235" s="26" t="s">
        <v>6224</v>
      </c>
      <c r="H1235" s="26" t="s">
        <v>6223</v>
      </c>
      <c r="I1235" s="26" t="s">
        <v>6225</v>
      </c>
      <c r="J1235" s="26" t="s">
        <v>6224</v>
      </c>
      <c r="K1235" s="27"/>
      <c r="L1235" s="28" t="s">
        <v>6223</v>
      </c>
      <c r="M1235" s="29" t="str">
        <f t="shared" si="95"/>
        <v>✓ OK</v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3729</v>
      </c>
      <c r="C1236" s="44" t="s">
        <v>3730</v>
      </c>
      <c r="D1236" s="42" t="s">
        <v>3416</v>
      </c>
      <c r="E1236" s="46">
        <v>46125</v>
      </c>
      <c r="F1236" s="26" t="s">
        <v>6222</v>
      </c>
      <c r="G1236" s="26" t="s">
        <v>6224</v>
      </c>
      <c r="H1236" s="26" t="s">
        <v>6223</v>
      </c>
      <c r="I1236" s="26" t="s">
        <v>6225</v>
      </c>
      <c r="J1236" s="26" t="s">
        <v>6224</v>
      </c>
      <c r="K1236" s="27"/>
      <c r="L1236" s="28" t="s">
        <v>6223</v>
      </c>
      <c r="M1236" s="29" t="str">
        <f t="shared" si="95"/>
        <v>✓ OK</v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3731</v>
      </c>
      <c r="C1237" s="25" t="s">
        <v>3732</v>
      </c>
      <c r="D1237" s="23" t="s">
        <v>3416</v>
      </c>
      <c r="E1237" s="46">
        <v>46125</v>
      </c>
      <c r="F1237" s="26" t="s">
        <v>6222</v>
      </c>
      <c r="G1237" s="26" t="s">
        <v>6224</v>
      </c>
      <c r="H1237" s="26" t="s">
        <v>6223</v>
      </c>
      <c r="I1237" s="26" t="s">
        <v>6225</v>
      </c>
      <c r="J1237" s="26" t="s">
        <v>6224</v>
      </c>
      <c r="K1237" s="27"/>
      <c r="L1237" s="28" t="s">
        <v>6223</v>
      </c>
      <c r="M1237" s="29" t="str">
        <f t="shared" si="95"/>
        <v>✓ OK</v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3733</v>
      </c>
      <c r="C1238" s="44" t="s">
        <v>3734</v>
      </c>
      <c r="D1238" s="42" t="s">
        <v>3416</v>
      </c>
      <c r="E1238" s="46">
        <v>46125</v>
      </c>
      <c r="F1238" s="26" t="s">
        <v>6222</v>
      </c>
      <c r="G1238" s="26" t="s">
        <v>6224</v>
      </c>
      <c r="H1238" s="26" t="s">
        <v>6223</v>
      </c>
      <c r="I1238" s="26" t="s">
        <v>6225</v>
      </c>
      <c r="J1238" s="26" t="s">
        <v>6224</v>
      </c>
      <c r="K1238" s="27"/>
      <c r="L1238" s="28" t="s">
        <v>6223</v>
      </c>
      <c r="M1238" s="29" t="str">
        <f t="shared" si="95"/>
        <v>✓ OK</v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3735</v>
      </c>
      <c r="C1239" s="25" t="s">
        <v>3736</v>
      </c>
      <c r="D1239" s="23" t="s">
        <v>3416</v>
      </c>
      <c r="E1239" s="46">
        <v>46125</v>
      </c>
      <c r="F1239" s="26" t="s">
        <v>6222</v>
      </c>
      <c r="G1239" s="26" t="s">
        <v>6224</v>
      </c>
      <c r="H1239" s="26" t="s">
        <v>6223</v>
      </c>
      <c r="I1239" s="26" t="s">
        <v>6225</v>
      </c>
      <c r="J1239" s="26" t="s">
        <v>6224</v>
      </c>
      <c r="K1239" s="27"/>
      <c r="L1239" s="28" t="s">
        <v>6223</v>
      </c>
      <c r="M1239" s="29" t="str">
        <f t="shared" si="95"/>
        <v>✓ OK</v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3737</v>
      </c>
      <c r="C1240" s="44" t="s">
        <v>3738</v>
      </c>
      <c r="D1240" s="42" t="s">
        <v>3416</v>
      </c>
      <c r="E1240" s="46">
        <v>46125</v>
      </c>
      <c r="F1240" s="26" t="s">
        <v>6222</v>
      </c>
      <c r="G1240" s="26" t="s">
        <v>6224</v>
      </c>
      <c r="H1240" s="26" t="s">
        <v>6223</v>
      </c>
      <c r="I1240" s="26" t="s">
        <v>6225</v>
      </c>
      <c r="J1240" s="26" t="s">
        <v>6224</v>
      </c>
      <c r="K1240" s="27"/>
      <c r="L1240" s="28" t="s">
        <v>6223</v>
      </c>
      <c r="M1240" s="29" t="str">
        <f t="shared" si="95"/>
        <v>✓ OK</v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3739</v>
      </c>
      <c r="C1241" s="25" t="s">
        <v>3740</v>
      </c>
      <c r="D1241" s="23" t="s">
        <v>3416</v>
      </c>
      <c r="E1241" s="46">
        <v>46125</v>
      </c>
      <c r="F1241" s="26" t="s">
        <v>6222</v>
      </c>
      <c r="G1241" s="26" t="s">
        <v>6224</v>
      </c>
      <c r="H1241" s="26" t="s">
        <v>6223</v>
      </c>
      <c r="I1241" s="26" t="s">
        <v>6225</v>
      </c>
      <c r="J1241" s="26" t="s">
        <v>6224</v>
      </c>
      <c r="K1241" s="27"/>
      <c r="L1241" s="28" t="s">
        <v>6223</v>
      </c>
      <c r="M1241" s="29" t="str">
        <f t="shared" si="95"/>
        <v>✓ OK</v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3741</v>
      </c>
      <c r="C1242" s="44" t="s">
        <v>3742</v>
      </c>
      <c r="D1242" s="42" t="s">
        <v>3416</v>
      </c>
      <c r="E1242" s="46">
        <v>46125</v>
      </c>
      <c r="F1242" s="26" t="s">
        <v>6222</v>
      </c>
      <c r="G1242" s="26" t="s">
        <v>6224</v>
      </c>
      <c r="H1242" s="26" t="s">
        <v>6223</v>
      </c>
      <c r="I1242" s="26" t="s">
        <v>6225</v>
      </c>
      <c r="J1242" s="26" t="s">
        <v>6224</v>
      </c>
      <c r="K1242" s="27"/>
      <c r="L1242" s="28" t="s">
        <v>6223</v>
      </c>
      <c r="M1242" s="29" t="str">
        <f t="shared" si="95"/>
        <v>✓ OK</v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3743</v>
      </c>
      <c r="C1243" s="25" t="s">
        <v>3744</v>
      </c>
      <c r="D1243" s="23" t="s">
        <v>3416</v>
      </c>
      <c r="E1243" s="46">
        <v>46125</v>
      </c>
      <c r="F1243" s="26" t="s">
        <v>6222</v>
      </c>
      <c r="G1243" s="26" t="s">
        <v>6224</v>
      </c>
      <c r="H1243" s="26" t="s">
        <v>6223</v>
      </c>
      <c r="I1243" s="26" t="s">
        <v>6225</v>
      </c>
      <c r="J1243" s="26" t="s">
        <v>6224</v>
      </c>
      <c r="K1243" s="27"/>
      <c r="L1243" s="28" t="s">
        <v>6223</v>
      </c>
      <c r="M1243" s="29" t="str">
        <f t="shared" si="95"/>
        <v>✓ OK</v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3745</v>
      </c>
      <c r="C1244" s="44" t="s">
        <v>3746</v>
      </c>
      <c r="D1244" s="42" t="s">
        <v>3416</v>
      </c>
      <c r="E1244" s="46">
        <v>46125</v>
      </c>
      <c r="F1244" s="26" t="s">
        <v>6222</v>
      </c>
      <c r="G1244" s="26" t="s">
        <v>6224</v>
      </c>
      <c r="H1244" s="26" t="s">
        <v>6223</v>
      </c>
      <c r="I1244" s="26" t="s">
        <v>6225</v>
      </c>
      <c r="J1244" s="26" t="s">
        <v>6224</v>
      </c>
      <c r="K1244" s="27"/>
      <c r="L1244" s="28" t="s">
        <v>6223</v>
      </c>
      <c r="M1244" s="29" t="str">
        <f t="shared" si="95"/>
        <v>✓ OK</v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3747</v>
      </c>
      <c r="C1245" s="25" t="s">
        <v>3748</v>
      </c>
      <c r="D1245" s="23" t="s">
        <v>3416</v>
      </c>
      <c r="E1245" s="46">
        <v>46125</v>
      </c>
      <c r="F1245" s="26" t="s">
        <v>6222</v>
      </c>
      <c r="G1245" s="26" t="s">
        <v>6224</v>
      </c>
      <c r="H1245" s="26" t="s">
        <v>6223</v>
      </c>
      <c r="I1245" s="26" t="s">
        <v>6225</v>
      </c>
      <c r="J1245" s="26" t="s">
        <v>6224</v>
      </c>
      <c r="K1245" s="27"/>
      <c r="L1245" s="28" t="s">
        <v>6223</v>
      </c>
      <c r="M1245" s="29" t="str">
        <f t="shared" si="95"/>
        <v>✓ OK</v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3749</v>
      </c>
      <c r="C1246" s="44" t="s">
        <v>3750</v>
      </c>
      <c r="D1246" s="42" t="s">
        <v>3416</v>
      </c>
      <c r="E1246" s="46">
        <v>46125</v>
      </c>
      <c r="F1246" s="26" t="s">
        <v>6222</v>
      </c>
      <c r="G1246" s="26" t="s">
        <v>6224</v>
      </c>
      <c r="H1246" s="26" t="s">
        <v>6223</v>
      </c>
      <c r="I1246" s="26" t="s">
        <v>6225</v>
      </c>
      <c r="J1246" s="26" t="s">
        <v>6224</v>
      </c>
      <c r="K1246" s="27"/>
      <c r="L1246" s="28" t="s">
        <v>6223</v>
      </c>
      <c r="M1246" s="29" t="str">
        <f t="shared" si="95"/>
        <v>✓ OK</v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3751</v>
      </c>
      <c r="C1247" s="25" t="s">
        <v>3752</v>
      </c>
      <c r="D1247" s="23" t="s">
        <v>3416</v>
      </c>
      <c r="E1247" s="46">
        <v>46125</v>
      </c>
      <c r="F1247" s="26" t="s">
        <v>6222</v>
      </c>
      <c r="G1247" s="26" t="s">
        <v>6224</v>
      </c>
      <c r="H1247" s="26" t="s">
        <v>6223</v>
      </c>
      <c r="I1247" s="26" t="s">
        <v>6225</v>
      </c>
      <c r="J1247" s="26" t="s">
        <v>6224</v>
      </c>
      <c r="K1247" s="27"/>
      <c r="L1247" s="28" t="s">
        <v>6223</v>
      </c>
      <c r="M1247" s="29" t="str">
        <f t="shared" si="95"/>
        <v>✓ OK</v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3753</v>
      </c>
      <c r="C1248" s="44" t="s">
        <v>3754</v>
      </c>
      <c r="D1248" s="42" t="s">
        <v>3416</v>
      </c>
      <c r="E1248" s="46">
        <v>46125</v>
      </c>
      <c r="F1248" s="26" t="s">
        <v>6222</v>
      </c>
      <c r="G1248" s="26" t="s">
        <v>6224</v>
      </c>
      <c r="H1248" s="26" t="s">
        <v>6223</v>
      </c>
      <c r="I1248" s="26" t="s">
        <v>6225</v>
      </c>
      <c r="J1248" s="26" t="s">
        <v>6224</v>
      </c>
      <c r="K1248" s="27"/>
      <c r="L1248" s="28" t="s">
        <v>6223</v>
      </c>
      <c r="M1248" s="29" t="str">
        <f t="shared" si="95"/>
        <v>✓ OK</v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3755</v>
      </c>
      <c r="C1249" s="25" t="s">
        <v>3756</v>
      </c>
      <c r="D1249" s="23" t="s">
        <v>3416</v>
      </c>
      <c r="E1249" s="46">
        <v>46125</v>
      </c>
      <c r="F1249" s="26" t="s">
        <v>6222</v>
      </c>
      <c r="G1249" s="26" t="s">
        <v>6224</v>
      </c>
      <c r="H1249" s="26" t="s">
        <v>6223</v>
      </c>
      <c r="I1249" s="26" t="s">
        <v>6225</v>
      </c>
      <c r="J1249" s="26" t="s">
        <v>6224</v>
      </c>
      <c r="K1249" s="27"/>
      <c r="L1249" s="28" t="s">
        <v>6223</v>
      </c>
      <c r="M1249" s="29" t="str">
        <f t="shared" si="95"/>
        <v>✓ OK</v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3757</v>
      </c>
      <c r="C1250" s="44" t="s">
        <v>3758</v>
      </c>
      <c r="D1250" s="42" t="s">
        <v>3416</v>
      </c>
      <c r="E1250" s="46">
        <v>46125</v>
      </c>
      <c r="F1250" s="26" t="s">
        <v>6222</v>
      </c>
      <c r="G1250" s="26" t="s">
        <v>6224</v>
      </c>
      <c r="H1250" s="26" t="s">
        <v>6223</v>
      </c>
      <c r="I1250" s="26" t="s">
        <v>6225</v>
      </c>
      <c r="J1250" s="26" t="s">
        <v>6224</v>
      </c>
      <c r="K1250" s="27"/>
      <c r="L1250" s="28" t="s">
        <v>6223</v>
      </c>
      <c r="M1250" s="29" t="str">
        <f t="shared" si="95"/>
        <v>✓ OK</v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3759</v>
      </c>
      <c r="C1251" s="25" t="s">
        <v>3760</v>
      </c>
      <c r="D1251" s="23" t="s">
        <v>3416</v>
      </c>
      <c r="E1251" s="46">
        <v>46125</v>
      </c>
      <c r="F1251" s="26" t="s">
        <v>6222</v>
      </c>
      <c r="G1251" s="26" t="s">
        <v>6224</v>
      </c>
      <c r="H1251" s="26" t="s">
        <v>6223</v>
      </c>
      <c r="I1251" s="26" t="s">
        <v>6225</v>
      </c>
      <c r="J1251" s="26" t="s">
        <v>6224</v>
      </c>
      <c r="K1251" s="27"/>
      <c r="L1251" s="28" t="s">
        <v>6223</v>
      </c>
      <c r="M1251" s="29" t="str">
        <f t="shared" si="95"/>
        <v>✓ OK</v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3761</v>
      </c>
      <c r="C1252" s="44" t="s">
        <v>3762</v>
      </c>
      <c r="D1252" s="42" t="s">
        <v>3416</v>
      </c>
      <c r="E1252" s="46">
        <v>46125</v>
      </c>
      <c r="F1252" s="26" t="s">
        <v>6222</v>
      </c>
      <c r="G1252" s="26" t="s">
        <v>6224</v>
      </c>
      <c r="H1252" s="26" t="s">
        <v>6223</v>
      </c>
      <c r="I1252" s="26" t="s">
        <v>6225</v>
      </c>
      <c r="J1252" s="26" t="s">
        <v>6224</v>
      </c>
      <c r="K1252" s="27"/>
      <c r="L1252" s="28" t="s">
        <v>6223</v>
      </c>
      <c r="M1252" s="29" t="str">
        <f t="shared" si="95"/>
        <v>✓ OK</v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3763</v>
      </c>
      <c r="C1253" s="25" t="s">
        <v>3764</v>
      </c>
      <c r="D1253" s="23" t="s">
        <v>3416</v>
      </c>
      <c r="E1253" s="46">
        <v>46125</v>
      </c>
      <c r="F1253" s="26" t="s">
        <v>6222</v>
      </c>
      <c r="G1253" s="26" t="s">
        <v>6224</v>
      </c>
      <c r="H1253" s="26" t="s">
        <v>6223</v>
      </c>
      <c r="I1253" s="26" t="s">
        <v>6225</v>
      </c>
      <c r="J1253" s="26" t="s">
        <v>6224</v>
      </c>
      <c r="K1253" s="27"/>
      <c r="L1253" s="28" t="s">
        <v>6223</v>
      </c>
      <c r="M1253" s="29" t="str">
        <f t="shared" si="95"/>
        <v>✓ OK</v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3765</v>
      </c>
      <c r="C1254" s="44" t="s">
        <v>3766</v>
      </c>
      <c r="D1254" s="42" t="s">
        <v>3416</v>
      </c>
      <c r="E1254" s="46">
        <v>46125</v>
      </c>
      <c r="F1254" s="26" t="s">
        <v>6222</v>
      </c>
      <c r="G1254" s="26" t="s">
        <v>6224</v>
      </c>
      <c r="H1254" s="26" t="s">
        <v>6223</v>
      </c>
      <c r="I1254" s="26" t="s">
        <v>6225</v>
      </c>
      <c r="J1254" s="26" t="s">
        <v>6224</v>
      </c>
      <c r="K1254" s="27"/>
      <c r="L1254" s="28" t="s">
        <v>6223</v>
      </c>
      <c r="M1254" s="29" t="str">
        <f t="shared" si="95"/>
        <v>✓ OK</v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3767</v>
      </c>
      <c r="C1255" s="25" t="s">
        <v>3768</v>
      </c>
      <c r="D1255" s="23" t="s">
        <v>3416</v>
      </c>
      <c r="E1255" s="46">
        <v>46125</v>
      </c>
      <c r="F1255" s="26" t="s">
        <v>6222</v>
      </c>
      <c r="G1255" s="26" t="s">
        <v>6224</v>
      </c>
      <c r="H1255" s="26" t="s">
        <v>6223</v>
      </c>
      <c r="I1255" s="26" t="s">
        <v>6225</v>
      </c>
      <c r="J1255" s="26" t="s">
        <v>6224</v>
      </c>
      <c r="K1255" s="27"/>
      <c r="L1255" s="28" t="s">
        <v>6223</v>
      </c>
      <c r="M1255" s="29" t="str">
        <f t="shared" si="95"/>
        <v>✓ OK</v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3769</v>
      </c>
      <c r="C1256" s="44" t="s">
        <v>3770</v>
      </c>
      <c r="D1256" s="42" t="s">
        <v>3416</v>
      </c>
      <c r="E1256" s="46">
        <v>46125</v>
      </c>
      <c r="F1256" s="26" t="s">
        <v>6222</v>
      </c>
      <c r="G1256" s="26" t="s">
        <v>6224</v>
      </c>
      <c r="H1256" s="26" t="s">
        <v>6223</v>
      </c>
      <c r="I1256" s="26" t="s">
        <v>6225</v>
      </c>
      <c r="J1256" s="26" t="s">
        <v>6224</v>
      </c>
      <c r="K1256" s="27"/>
      <c r="L1256" s="28" t="s">
        <v>6223</v>
      </c>
      <c r="M1256" s="29" t="str">
        <f t="shared" si="95"/>
        <v>✓ OK</v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3771</v>
      </c>
      <c r="C1257" s="25" t="s">
        <v>3772</v>
      </c>
      <c r="D1257" s="23" t="s">
        <v>3416</v>
      </c>
      <c r="E1257" s="46">
        <v>46125</v>
      </c>
      <c r="F1257" s="26" t="s">
        <v>6222</v>
      </c>
      <c r="G1257" s="26" t="s">
        <v>6224</v>
      </c>
      <c r="H1257" s="26" t="s">
        <v>6223</v>
      </c>
      <c r="I1257" s="26" t="s">
        <v>6225</v>
      </c>
      <c r="J1257" s="26" t="s">
        <v>6224</v>
      </c>
      <c r="K1257" s="27"/>
      <c r="L1257" s="28" t="s">
        <v>6223</v>
      </c>
      <c r="M1257" s="29" t="str">
        <f t="shared" si="95"/>
        <v>✓ OK</v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3773</v>
      </c>
      <c r="C1258" s="44" t="s">
        <v>3774</v>
      </c>
      <c r="D1258" s="42" t="s">
        <v>3416</v>
      </c>
      <c r="E1258" s="46">
        <v>46125</v>
      </c>
      <c r="F1258" s="26" t="s">
        <v>6222</v>
      </c>
      <c r="G1258" s="26" t="s">
        <v>6224</v>
      </c>
      <c r="H1258" s="26" t="s">
        <v>6223</v>
      </c>
      <c r="I1258" s="26" t="s">
        <v>6225</v>
      </c>
      <c r="J1258" s="26" t="s">
        <v>6224</v>
      </c>
      <c r="K1258" s="27"/>
      <c r="L1258" s="28" t="s">
        <v>6223</v>
      </c>
      <c r="M1258" s="29" t="str">
        <f t="shared" si="95"/>
        <v>✓ OK</v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3775</v>
      </c>
      <c r="C1259" s="25" t="s">
        <v>3776</v>
      </c>
      <c r="D1259" s="23" t="s">
        <v>3416</v>
      </c>
      <c r="E1259" s="46">
        <v>46125</v>
      </c>
      <c r="F1259" s="26" t="s">
        <v>6222</v>
      </c>
      <c r="G1259" s="26" t="s">
        <v>6224</v>
      </c>
      <c r="H1259" s="26" t="s">
        <v>6223</v>
      </c>
      <c r="I1259" s="26" t="s">
        <v>6225</v>
      </c>
      <c r="J1259" s="26" t="s">
        <v>6224</v>
      </c>
      <c r="K1259" s="27"/>
      <c r="L1259" s="28" t="s">
        <v>6223</v>
      </c>
      <c r="M1259" s="29" t="str">
        <f t="shared" si="95"/>
        <v>✓ OK</v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3777</v>
      </c>
      <c r="C1260" s="44" t="s">
        <v>3778</v>
      </c>
      <c r="D1260" s="42" t="s">
        <v>3416</v>
      </c>
      <c r="E1260" s="46">
        <v>46125</v>
      </c>
      <c r="F1260" s="26" t="s">
        <v>6222</v>
      </c>
      <c r="G1260" s="26" t="s">
        <v>6224</v>
      </c>
      <c r="H1260" s="26" t="s">
        <v>6223</v>
      </c>
      <c r="I1260" s="26" t="s">
        <v>6225</v>
      </c>
      <c r="J1260" s="26" t="s">
        <v>6224</v>
      </c>
      <c r="K1260" s="27"/>
      <c r="L1260" s="28" t="s">
        <v>6223</v>
      </c>
      <c r="M1260" s="29" t="str">
        <f t="shared" si="95"/>
        <v>✓ OK</v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3779</v>
      </c>
      <c r="C1261" s="25" t="s">
        <v>3780</v>
      </c>
      <c r="D1261" s="23" t="s">
        <v>3416</v>
      </c>
      <c r="E1261" s="46">
        <v>46125</v>
      </c>
      <c r="F1261" s="26" t="s">
        <v>6222</v>
      </c>
      <c r="G1261" s="26" t="s">
        <v>6224</v>
      </c>
      <c r="H1261" s="26" t="s">
        <v>6223</v>
      </c>
      <c r="I1261" s="26" t="s">
        <v>6225</v>
      </c>
      <c r="J1261" s="26" t="s">
        <v>6224</v>
      </c>
      <c r="K1261" s="27"/>
      <c r="L1261" s="28" t="s">
        <v>6223</v>
      </c>
      <c r="M1261" s="29" t="str">
        <f t="shared" si="95"/>
        <v>✓ OK</v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3781</v>
      </c>
      <c r="C1262" s="44" t="s">
        <v>3782</v>
      </c>
      <c r="D1262" s="42" t="s">
        <v>3416</v>
      </c>
      <c r="E1262" s="46">
        <v>46125</v>
      </c>
      <c r="F1262" s="26" t="s">
        <v>6222</v>
      </c>
      <c r="G1262" s="26" t="s">
        <v>6224</v>
      </c>
      <c r="H1262" s="26" t="s">
        <v>6223</v>
      </c>
      <c r="I1262" s="26" t="s">
        <v>6225</v>
      </c>
      <c r="J1262" s="26" t="s">
        <v>6224</v>
      </c>
      <c r="K1262" s="27"/>
      <c r="L1262" s="28" t="s">
        <v>6223</v>
      </c>
      <c r="M1262" s="29" t="str">
        <f t="shared" si="95"/>
        <v>✓ OK</v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3783</v>
      </c>
      <c r="C1263" s="25" t="s">
        <v>3784</v>
      </c>
      <c r="D1263" s="23" t="s">
        <v>3416</v>
      </c>
      <c r="E1263" s="46">
        <v>46125</v>
      </c>
      <c r="F1263" s="26" t="s">
        <v>6222</v>
      </c>
      <c r="G1263" s="26" t="s">
        <v>6224</v>
      </c>
      <c r="H1263" s="26" t="s">
        <v>6223</v>
      </c>
      <c r="I1263" s="26" t="s">
        <v>6225</v>
      </c>
      <c r="J1263" s="26" t="s">
        <v>6224</v>
      </c>
      <c r="K1263" s="27"/>
      <c r="L1263" s="28" t="s">
        <v>6223</v>
      </c>
      <c r="M1263" s="29" t="str">
        <f t="shared" si="95"/>
        <v>✓ OK</v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3785</v>
      </c>
      <c r="C1264" s="44" t="s">
        <v>3786</v>
      </c>
      <c r="D1264" s="42" t="s">
        <v>3416</v>
      </c>
      <c r="E1264" s="46">
        <v>46125</v>
      </c>
      <c r="F1264" s="26" t="s">
        <v>6222</v>
      </c>
      <c r="G1264" s="26" t="s">
        <v>6224</v>
      </c>
      <c r="H1264" s="26" t="s">
        <v>6223</v>
      </c>
      <c r="I1264" s="26" t="s">
        <v>6225</v>
      </c>
      <c r="J1264" s="26" t="s">
        <v>6224</v>
      </c>
      <c r="K1264" s="27"/>
      <c r="L1264" s="28" t="s">
        <v>6223</v>
      </c>
      <c r="M1264" s="29" t="str">
        <f t="shared" si="95"/>
        <v>✓ OK</v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3787</v>
      </c>
      <c r="C1265" s="25" t="s">
        <v>3788</v>
      </c>
      <c r="D1265" s="23" t="s">
        <v>3416</v>
      </c>
      <c r="E1265" s="46">
        <v>46125</v>
      </c>
      <c r="F1265" s="26" t="s">
        <v>6222</v>
      </c>
      <c r="G1265" s="26" t="s">
        <v>6224</v>
      </c>
      <c r="H1265" s="26" t="s">
        <v>6223</v>
      </c>
      <c r="I1265" s="26" t="s">
        <v>6225</v>
      </c>
      <c r="J1265" s="26" t="s">
        <v>6224</v>
      </c>
      <c r="K1265" s="27"/>
      <c r="L1265" s="28" t="s">
        <v>6223</v>
      </c>
      <c r="M1265" s="29" t="str">
        <f t="shared" si="95"/>
        <v>✓ OK</v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3789</v>
      </c>
      <c r="C1266" s="44" t="s">
        <v>3790</v>
      </c>
      <c r="D1266" s="42" t="s">
        <v>3416</v>
      </c>
      <c r="E1266" s="46">
        <v>46125</v>
      </c>
      <c r="F1266" s="26" t="s">
        <v>6222</v>
      </c>
      <c r="G1266" s="26" t="s">
        <v>6224</v>
      </c>
      <c r="H1266" s="26" t="s">
        <v>6223</v>
      </c>
      <c r="I1266" s="26" t="s">
        <v>6225</v>
      </c>
      <c r="J1266" s="26" t="s">
        <v>6224</v>
      </c>
      <c r="K1266" s="27"/>
      <c r="L1266" s="28" t="s">
        <v>6223</v>
      </c>
      <c r="M1266" s="29" t="str">
        <f t="shared" si="95"/>
        <v>✓ OK</v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3791</v>
      </c>
      <c r="C1267" s="25" t="s">
        <v>3792</v>
      </c>
      <c r="D1267" s="23" t="s">
        <v>3416</v>
      </c>
      <c r="E1267" s="46">
        <v>46125</v>
      </c>
      <c r="F1267" s="26" t="s">
        <v>6222</v>
      </c>
      <c r="G1267" s="26" t="s">
        <v>6224</v>
      </c>
      <c r="H1267" s="26" t="s">
        <v>6223</v>
      </c>
      <c r="I1267" s="26" t="s">
        <v>6225</v>
      </c>
      <c r="J1267" s="26" t="s">
        <v>6224</v>
      </c>
      <c r="K1267" s="27"/>
      <c r="L1267" s="28" t="s">
        <v>6223</v>
      </c>
      <c r="M1267" s="29" t="str">
        <f t="shared" si="95"/>
        <v>✓ OK</v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3793</v>
      </c>
      <c r="C1268" s="44" t="s">
        <v>3794</v>
      </c>
      <c r="D1268" s="42" t="s">
        <v>3416</v>
      </c>
      <c r="E1268" s="46">
        <v>46125</v>
      </c>
      <c r="F1268" s="26" t="s">
        <v>6222</v>
      </c>
      <c r="G1268" s="26" t="s">
        <v>6224</v>
      </c>
      <c r="H1268" s="26" t="s">
        <v>6223</v>
      </c>
      <c r="I1268" s="26" t="s">
        <v>6225</v>
      </c>
      <c r="J1268" s="26" t="s">
        <v>6224</v>
      </c>
      <c r="K1268" s="27"/>
      <c r="L1268" s="28" t="s">
        <v>6223</v>
      </c>
      <c r="M1268" s="29" t="str">
        <f t="shared" si="95"/>
        <v>✓ OK</v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3795</v>
      </c>
      <c r="C1269" s="25" t="s">
        <v>3796</v>
      </c>
      <c r="D1269" s="23" t="s">
        <v>3416</v>
      </c>
      <c r="E1269" s="46">
        <v>46125</v>
      </c>
      <c r="F1269" s="26" t="s">
        <v>6222</v>
      </c>
      <c r="G1269" s="26" t="s">
        <v>6224</v>
      </c>
      <c r="H1269" s="26" t="s">
        <v>6223</v>
      </c>
      <c r="I1269" s="26" t="s">
        <v>6225</v>
      </c>
      <c r="J1269" s="26" t="s">
        <v>6224</v>
      </c>
      <c r="K1269" s="27"/>
      <c r="L1269" s="28" t="s">
        <v>6223</v>
      </c>
      <c r="M1269" s="29" t="str">
        <f t="shared" si="95"/>
        <v>✓ OK</v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3797</v>
      </c>
      <c r="C1270" s="44" t="s">
        <v>3798</v>
      </c>
      <c r="D1270" s="42" t="s">
        <v>3416</v>
      </c>
      <c r="E1270" s="46">
        <v>46125</v>
      </c>
      <c r="F1270" s="26" t="s">
        <v>6222</v>
      </c>
      <c r="G1270" s="26" t="s">
        <v>6224</v>
      </c>
      <c r="H1270" s="26" t="s">
        <v>6223</v>
      </c>
      <c r="I1270" s="26" t="s">
        <v>6225</v>
      </c>
      <c r="J1270" s="26" t="s">
        <v>6224</v>
      </c>
      <c r="K1270" s="27"/>
      <c r="L1270" s="28" t="s">
        <v>6223</v>
      </c>
      <c r="M1270" s="29" t="str">
        <f t="shared" si="95"/>
        <v>✓ OK</v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3799</v>
      </c>
      <c r="C1271" s="25" t="s">
        <v>3800</v>
      </c>
      <c r="D1271" s="23" t="s">
        <v>3416</v>
      </c>
      <c r="E1271" s="46">
        <v>46125</v>
      </c>
      <c r="F1271" s="26" t="s">
        <v>6222</v>
      </c>
      <c r="G1271" s="26" t="s">
        <v>6224</v>
      </c>
      <c r="H1271" s="26" t="s">
        <v>6223</v>
      </c>
      <c r="I1271" s="26" t="s">
        <v>6225</v>
      </c>
      <c r="J1271" s="26" t="s">
        <v>6224</v>
      </c>
      <c r="K1271" s="27"/>
      <c r="L1271" s="28" t="s">
        <v>6223</v>
      </c>
      <c r="M1271" s="29" t="str">
        <f t="shared" si="95"/>
        <v>✓ OK</v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3801</v>
      </c>
      <c r="C1272" s="44" t="s">
        <v>3802</v>
      </c>
      <c r="D1272" s="42" t="s">
        <v>3416</v>
      </c>
      <c r="E1272" s="46">
        <v>46125</v>
      </c>
      <c r="F1272" s="26" t="s">
        <v>6222</v>
      </c>
      <c r="G1272" s="26" t="s">
        <v>6224</v>
      </c>
      <c r="H1272" s="26" t="s">
        <v>6223</v>
      </c>
      <c r="I1272" s="26" t="s">
        <v>6225</v>
      </c>
      <c r="J1272" s="26" t="s">
        <v>6224</v>
      </c>
      <c r="K1272" s="27"/>
      <c r="L1272" s="28" t="s">
        <v>6223</v>
      </c>
      <c r="M1272" s="29" t="str">
        <f t="shared" si="95"/>
        <v>✓ OK</v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3803</v>
      </c>
      <c r="C1273" s="25" t="s">
        <v>3804</v>
      </c>
      <c r="D1273" s="23" t="s">
        <v>3416</v>
      </c>
      <c r="E1273" s="46">
        <v>46125</v>
      </c>
      <c r="F1273" s="26" t="s">
        <v>6222</v>
      </c>
      <c r="G1273" s="26" t="s">
        <v>6224</v>
      </c>
      <c r="H1273" s="26" t="s">
        <v>6223</v>
      </c>
      <c r="I1273" s="26" t="s">
        <v>6225</v>
      </c>
      <c r="J1273" s="26" t="s">
        <v>6224</v>
      </c>
      <c r="K1273" s="27"/>
      <c r="L1273" s="28" t="s">
        <v>6223</v>
      </c>
      <c r="M1273" s="29" t="str">
        <f t="shared" si="95"/>
        <v>✓ OK</v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3805</v>
      </c>
      <c r="C1274" s="44" t="s">
        <v>3806</v>
      </c>
      <c r="D1274" s="42" t="s">
        <v>3416</v>
      </c>
      <c r="E1274" s="46">
        <v>46125</v>
      </c>
      <c r="F1274" s="26" t="s">
        <v>6222</v>
      </c>
      <c r="G1274" s="26" t="s">
        <v>6224</v>
      </c>
      <c r="H1274" s="26" t="s">
        <v>6223</v>
      </c>
      <c r="I1274" s="26" t="s">
        <v>6225</v>
      </c>
      <c r="J1274" s="26" t="s">
        <v>6224</v>
      </c>
      <c r="K1274" s="27"/>
      <c r="L1274" s="28" t="s">
        <v>6223</v>
      </c>
      <c r="M1274" s="29" t="str">
        <f t="shared" si="95"/>
        <v>✓ OK</v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3807</v>
      </c>
      <c r="C1275" s="25" t="s">
        <v>3808</v>
      </c>
      <c r="D1275" s="23" t="s">
        <v>3416</v>
      </c>
      <c r="E1275" s="46">
        <v>46125</v>
      </c>
      <c r="F1275" s="26" t="s">
        <v>6222</v>
      </c>
      <c r="G1275" s="26" t="s">
        <v>6224</v>
      </c>
      <c r="H1275" s="26" t="s">
        <v>6223</v>
      </c>
      <c r="I1275" s="26" t="s">
        <v>6225</v>
      </c>
      <c r="J1275" s="26" t="s">
        <v>6224</v>
      </c>
      <c r="K1275" s="27"/>
      <c r="L1275" s="28" t="s">
        <v>6223</v>
      </c>
      <c r="M1275" s="29" t="str">
        <f t="shared" si="95"/>
        <v>✓ OK</v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3809</v>
      </c>
      <c r="C1276" s="44" t="s">
        <v>3810</v>
      </c>
      <c r="D1276" s="42" t="s">
        <v>3416</v>
      </c>
      <c r="E1276" s="46">
        <v>46125</v>
      </c>
      <c r="F1276" s="26" t="s">
        <v>6222</v>
      </c>
      <c r="G1276" s="26" t="s">
        <v>6224</v>
      </c>
      <c r="H1276" s="26" t="s">
        <v>6223</v>
      </c>
      <c r="I1276" s="26" t="s">
        <v>6225</v>
      </c>
      <c r="J1276" s="26" t="s">
        <v>6224</v>
      </c>
      <c r="K1276" s="27"/>
      <c r="L1276" s="28" t="s">
        <v>6223</v>
      </c>
      <c r="M1276" s="29" t="str">
        <f t="shared" si="95"/>
        <v>✓ OK</v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3811</v>
      </c>
      <c r="C1277" s="25" t="s">
        <v>3812</v>
      </c>
      <c r="D1277" s="23" t="s">
        <v>3416</v>
      </c>
      <c r="E1277" s="46">
        <v>46125</v>
      </c>
      <c r="F1277" s="26" t="s">
        <v>6222</v>
      </c>
      <c r="G1277" s="26" t="s">
        <v>6224</v>
      </c>
      <c r="H1277" s="26" t="s">
        <v>6223</v>
      </c>
      <c r="I1277" s="26" t="s">
        <v>6225</v>
      </c>
      <c r="J1277" s="26" t="s">
        <v>6224</v>
      </c>
      <c r="K1277" s="27"/>
      <c r="L1277" s="28" t="s">
        <v>6223</v>
      </c>
      <c r="M1277" s="29" t="str">
        <f t="shared" si="95"/>
        <v>✓ OK</v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3813</v>
      </c>
      <c r="C1278" s="44" t="s">
        <v>3814</v>
      </c>
      <c r="D1278" s="42" t="s">
        <v>3416</v>
      </c>
      <c r="E1278" s="46">
        <v>46125</v>
      </c>
      <c r="F1278" s="26" t="s">
        <v>6222</v>
      </c>
      <c r="G1278" s="26" t="s">
        <v>6224</v>
      </c>
      <c r="H1278" s="26" t="s">
        <v>6223</v>
      </c>
      <c r="I1278" s="26" t="s">
        <v>6225</v>
      </c>
      <c r="J1278" s="26" t="s">
        <v>6224</v>
      </c>
      <c r="K1278" s="27"/>
      <c r="L1278" s="28" t="s">
        <v>6223</v>
      </c>
      <c r="M1278" s="29" t="str">
        <f t="shared" si="95"/>
        <v>✓ OK</v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3815</v>
      </c>
      <c r="C1279" s="25" t="s">
        <v>3816</v>
      </c>
      <c r="D1279" s="23" t="s">
        <v>3416</v>
      </c>
      <c r="E1279" s="46">
        <v>46125</v>
      </c>
      <c r="F1279" s="26" t="s">
        <v>6222</v>
      </c>
      <c r="G1279" s="26" t="s">
        <v>6224</v>
      </c>
      <c r="H1279" s="26" t="s">
        <v>6223</v>
      </c>
      <c r="I1279" s="26" t="s">
        <v>6225</v>
      </c>
      <c r="J1279" s="26" t="s">
        <v>6224</v>
      </c>
      <c r="K1279" s="27"/>
      <c r="L1279" s="28" t="s">
        <v>6223</v>
      </c>
      <c r="M1279" s="29" t="str">
        <f t="shared" si="95"/>
        <v>✓ OK</v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3817</v>
      </c>
      <c r="C1280" s="44" t="s">
        <v>3818</v>
      </c>
      <c r="D1280" s="42" t="s">
        <v>3416</v>
      </c>
      <c r="E1280" s="46">
        <v>46125</v>
      </c>
      <c r="F1280" s="26" t="s">
        <v>6222</v>
      </c>
      <c r="G1280" s="26" t="s">
        <v>6224</v>
      </c>
      <c r="H1280" s="26" t="s">
        <v>6223</v>
      </c>
      <c r="I1280" s="26" t="s">
        <v>6225</v>
      </c>
      <c r="J1280" s="26" t="s">
        <v>6224</v>
      </c>
      <c r="K1280" s="27"/>
      <c r="L1280" s="28" t="s">
        <v>6223</v>
      </c>
      <c r="M1280" s="29" t="str">
        <f t="shared" si="95"/>
        <v>✓ OK</v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3819</v>
      </c>
      <c r="C1281" s="25" t="s">
        <v>3820</v>
      </c>
      <c r="D1281" s="23" t="s">
        <v>3416</v>
      </c>
      <c r="E1281" s="46">
        <v>46125</v>
      </c>
      <c r="F1281" s="26" t="s">
        <v>6222</v>
      </c>
      <c r="G1281" s="26" t="s">
        <v>6224</v>
      </c>
      <c r="H1281" s="26" t="s">
        <v>6223</v>
      </c>
      <c r="I1281" s="26" t="s">
        <v>6225</v>
      </c>
      <c r="J1281" s="26" t="s">
        <v>6224</v>
      </c>
      <c r="K1281" s="27"/>
      <c r="L1281" s="28" t="s">
        <v>6223</v>
      </c>
      <c r="M1281" s="29" t="str">
        <f t="shared" si="95"/>
        <v>✓ OK</v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3821</v>
      </c>
      <c r="C1282" s="44" t="s">
        <v>3822</v>
      </c>
      <c r="D1282" s="42" t="s">
        <v>3416</v>
      </c>
      <c r="E1282" s="46">
        <v>46125</v>
      </c>
      <c r="F1282" s="26" t="s">
        <v>6222</v>
      </c>
      <c r="G1282" s="26" t="s">
        <v>6224</v>
      </c>
      <c r="H1282" s="26" t="s">
        <v>6223</v>
      </c>
      <c r="I1282" s="26" t="s">
        <v>6225</v>
      </c>
      <c r="J1282" s="26" t="s">
        <v>6224</v>
      </c>
      <c r="K1282" s="27"/>
      <c r="L1282" s="28" t="s">
        <v>6223</v>
      </c>
      <c r="M1282" s="29" t="str">
        <f t="shared" si="95"/>
        <v>✓ OK</v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3823</v>
      </c>
      <c r="C1283" s="25" t="s">
        <v>3824</v>
      </c>
      <c r="D1283" s="23" t="s">
        <v>3416</v>
      </c>
      <c r="E1283" s="46">
        <v>46125</v>
      </c>
      <c r="F1283" s="26" t="s">
        <v>6222</v>
      </c>
      <c r="G1283" s="26" t="s">
        <v>6224</v>
      </c>
      <c r="H1283" s="26" t="s">
        <v>6223</v>
      </c>
      <c r="I1283" s="26" t="s">
        <v>6225</v>
      </c>
      <c r="J1283" s="26" t="s">
        <v>6224</v>
      </c>
      <c r="K1283" s="27"/>
      <c r="L1283" s="28" t="s">
        <v>6223</v>
      </c>
      <c r="M1283" s="29" t="str">
        <f t="shared" si="95"/>
        <v>✓ OK</v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3825</v>
      </c>
      <c r="C1284" s="44" t="s">
        <v>3826</v>
      </c>
      <c r="D1284" s="42" t="s">
        <v>3416</v>
      </c>
      <c r="E1284" s="46">
        <v>46125</v>
      </c>
      <c r="F1284" s="26" t="s">
        <v>6222</v>
      </c>
      <c r="G1284" s="26" t="s">
        <v>6224</v>
      </c>
      <c r="H1284" s="26" t="s">
        <v>6223</v>
      </c>
      <c r="I1284" s="26" t="s">
        <v>6225</v>
      </c>
      <c r="J1284" s="26" t="s">
        <v>6224</v>
      </c>
      <c r="K1284" s="27"/>
      <c r="L1284" s="28" t="s">
        <v>6223</v>
      </c>
      <c r="M1284" s="29" t="str">
        <f t="shared" si="95"/>
        <v>✓ OK</v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3827</v>
      </c>
      <c r="C1285" s="25" t="s">
        <v>3828</v>
      </c>
      <c r="D1285" s="23" t="s">
        <v>3416</v>
      </c>
      <c r="E1285" s="46">
        <v>46125</v>
      </c>
      <c r="F1285" s="26" t="s">
        <v>6222</v>
      </c>
      <c r="G1285" s="26" t="s">
        <v>6224</v>
      </c>
      <c r="H1285" s="26" t="s">
        <v>6223</v>
      </c>
      <c r="I1285" s="26" t="s">
        <v>6225</v>
      </c>
      <c r="J1285" s="26" t="s">
        <v>6224</v>
      </c>
      <c r="K1285" s="27"/>
      <c r="L1285" s="28" t="s">
        <v>6223</v>
      </c>
      <c r="M1285" s="29" t="str">
        <f t="shared" ref="M1285:M1348" si="100">IF(E1285="","",IF(H1285="Yes","❌ Disc",IF(G1285="No","⚠ Missing",IF(J1285="Yes","✓ OK","⚠ Check"))))</f>
        <v>✓ OK</v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3829</v>
      </c>
      <c r="C1286" s="44" t="s">
        <v>3830</v>
      </c>
      <c r="D1286" s="42" t="s">
        <v>3416</v>
      </c>
      <c r="E1286" s="46">
        <v>46125</v>
      </c>
      <c r="F1286" s="26" t="s">
        <v>6222</v>
      </c>
      <c r="G1286" s="26" t="s">
        <v>6224</v>
      </c>
      <c r="H1286" s="26" t="s">
        <v>6223</v>
      </c>
      <c r="I1286" s="26" t="s">
        <v>6225</v>
      </c>
      <c r="J1286" s="26" t="s">
        <v>6224</v>
      </c>
      <c r="K1286" s="27"/>
      <c r="L1286" s="28" t="s">
        <v>6223</v>
      </c>
      <c r="M1286" s="29" t="str">
        <f t="shared" si="100"/>
        <v>✓ OK</v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3831</v>
      </c>
      <c r="C1287" s="25" t="s">
        <v>3832</v>
      </c>
      <c r="D1287" s="23" t="s">
        <v>3416</v>
      </c>
      <c r="E1287" s="46">
        <v>46125</v>
      </c>
      <c r="F1287" s="26" t="s">
        <v>6222</v>
      </c>
      <c r="G1287" s="26" t="s">
        <v>6224</v>
      </c>
      <c r="H1287" s="26" t="s">
        <v>6223</v>
      </c>
      <c r="I1287" s="26" t="s">
        <v>6225</v>
      </c>
      <c r="J1287" s="26" t="s">
        <v>6224</v>
      </c>
      <c r="K1287" s="27"/>
      <c r="L1287" s="28" t="s">
        <v>6223</v>
      </c>
      <c r="M1287" s="29" t="str">
        <f t="shared" si="100"/>
        <v>✓ OK</v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3833</v>
      </c>
      <c r="C1288" s="44" t="s">
        <v>3834</v>
      </c>
      <c r="D1288" s="42" t="s">
        <v>3416</v>
      </c>
      <c r="E1288" s="46">
        <v>46125</v>
      </c>
      <c r="F1288" s="26" t="s">
        <v>6222</v>
      </c>
      <c r="G1288" s="26" t="s">
        <v>6224</v>
      </c>
      <c r="H1288" s="26" t="s">
        <v>6223</v>
      </c>
      <c r="I1288" s="26" t="s">
        <v>6225</v>
      </c>
      <c r="J1288" s="26" t="s">
        <v>6224</v>
      </c>
      <c r="K1288" s="27"/>
      <c r="L1288" s="28" t="s">
        <v>6223</v>
      </c>
      <c r="M1288" s="29" t="str">
        <f t="shared" si="100"/>
        <v>✓ OK</v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3835</v>
      </c>
      <c r="C1289" s="25" t="s">
        <v>3836</v>
      </c>
      <c r="D1289" s="23" t="s">
        <v>3416</v>
      </c>
      <c r="E1289" s="46">
        <v>46125</v>
      </c>
      <c r="F1289" s="26" t="s">
        <v>6222</v>
      </c>
      <c r="G1289" s="26" t="s">
        <v>6224</v>
      </c>
      <c r="H1289" s="26" t="s">
        <v>6223</v>
      </c>
      <c r="I1289" s="26" t="s">
        <v>6225</v>
      </c>
      <c r="J1289" s="26" t="s">
        <v>6224</v>
      </c>
      <c r="K1289" s="27"/>
      <c r="L1289" s="28" t="s">
        <v>6223</v>
      </c>
      <c r="M1289" s="29" t="str">
        <f t="shared" si="100"/>
        <v>✓ OK</v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3837</v>
      </c>
      <c r="C1290" s="44" t="s">
        <v>3838</v>
      </c>
      <c r="D1290" s="42" t="s">
        <v>3416</v>
      </c>
      <c r="E1290" s="46">
        <v>46125</v>
      </c>
      <c r="F1290" s="26" t="s">
        <v>6222</v>
      </c>
      <c r="G1290" s="26" t="s">
        <v>6224</v>
      </c>
      <c r="H1290" s="26" t="s">
        <v>6223</v>
      </c>
      <c r="I1290" s="26" t="s">
        <v>6225</v>
      </c>
      <c r="J1290" s="26" t="s">
        <v>6224</v>
      </c>
      <c r="K1290" s="27"/>
      <c r="L1290" s="28" t="s">
        <v>6223</v>
      </c>
      <c r="M1290" s="29" t="str">
        <f t="shared" si="100"/>
        <v>✓ OK</v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3839</v>
      </c>
      <c r="C1291" s="25" t="s">
        <v>3840</v>
      </c>
      <c r="D1291" s="23" t="s">
        <v>3416</v>
      </c>
      <c r="E1291" s="46">
        <v>46125</v>
      </c>
      <c r="F1291" s="26" t="s">
        <v>6222</v>
      </c>
      <c r="G1291" s="26" t="s">
        <v>6224</v>
      </c>
      <c r="H1291" s="26" t="s">
        <v>6223</v>
      </c>
      <c r="I1291" s="26" t="s">
        <v>6225</v>
      </c>
      <c r="J1291" s="26" t="s">
        <v>6224</v>
      </c>
      <c r="K1291" s="27"/>
      <c r="L1291" s="28" t="s">
        <v>6223</v>
      </c>
      <c r="M1291" s="29" t="str">
        <f t="shared" si="100"/>
        <v>✓ OK</v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3841</v>
      </c>
      <c r="C1292" s="44" t="s">
        <v>3842</v>
      </c>
      <c r="D1292" s="42" t="s">
        <v>3416</v>
      </c>
      <c r="E1292" s="46">
        <v>46125</v>
      </c>
      <c r="F1292" s="26" t="s">
        <v>6222</v>
      </c>
      <c r="G1292" s="26" t="s">
        <v>6224</v>
      </c>
      <c r="H1292" s="26" t="s">
        <v>6223</v>
      </c>
      <c r="I1292" s="26" t="s">
        <v>6225</v>
      </c>
      <c r="J1292" s="26" t="s">
        <v>6224</v>
      </c>
      <c r="K1292" s="27"/>
      <c r="L1292" s="28" t="s">
        <v>6223</v>
      </c>
      <c r="M1292" s="29" t="str">
        <f t="shared" si="100"/>
        <v>✓ OK</v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3843</v>
      </c>
      <c r="C1293" s="25" t="s">
        <v>3844</v>
      </c>
      <c r="D1293" s="23" t="s">
        <v>3416</v>
      </c>
      <c r="E1293" s="46">
        <v>46125</v>
      </c>
      <c r="F1293" s="26" t="s">
        <v>6222</v>
      </c>
      <c r="G1293" s="26" t="s">
        <v>6224</v>
      </c>
      <c r="H1293" s="26" t="s">
        <v>6223</v>
      </c>
      <c r="I1293" s="26" t="s">
        <v>6225</v>
      </c>
      <c r="J1293" s="26" t="s">
        <v>6224</v>
      </c>
      <c r="K1293" s="27"/>
      <c r="L1293" s="28" t="s">
        <v>6223</v>
      </c>
      <c r="M1293" s="29" t="str">
        <f t="shared" si="100"/>
        <v>✓ OK</v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3845</v>
      </c>
      <c r="C1294" s="44" t="s">
        <v>3846</v>
      </c>
      <c r="D1294" s="42" t="s">
        <v>3416</v>
      </c>
      <c r="E1294" s="46">
        <v>46125</v>
      </c>
      <c r="F1294" s="26" t="s">
        <v>6222</v>
      </c>
      <c r="G1294" s="26" t="s">
        <v>6224</v>
      </c>
      <c r="H1294" s="26" t="s">
        <v>6223</v>
      </c>
      <c r="I1294" s="26" t="s">
        <v>6225</v>
      </c>
      <c r="J1294" s="26" t="s">
        <v>6224</v>
      </c>
      <c r="K1294" s="27"/>
      <c r="L1294" s="28" t="s">
        <v>6223</v>
      </c>
      <c r="M1294" s="29" t="str">
        <f t="shared" si="100"/>
        <v>✓ OK</v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3847</v>
      </c>
      <c r="C1295" s="25" t="s">
        <v>3848</v>
      </c>
      <c r="D1295" s="23" t="s">
        <v>3416</v>
      </c>
      <c r="E1295" s="46">
        <v>46125</v>
      </c>
      <c r="F1295" s="26" t="s">
        <v>6222</v>
      </c>
      <c r="G1295" s="26" t="s">
        <v>6224</v>
      </c>
      <c r="H1295" s="26" t="s">
        <v>6223</v>
      </c>
      <c r="I1295" s="26" t="s">
        <v>6225</v>
      </c>
      <c r="J1295" s="26" t="s">
        <v>6224</v>
      </c>
      <c r="K1295" s="27"/>
      <c r="L1295" s="28" t="s">
        <v>6223</v>
      </c>
      <c r="M1295" s="29" t="str">
        <f t="shared" si="100"/>
        <v>✓ OK</v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3849</v>
      </c>
      <c r="C1296" s="44" t="s">
        <v>3850</v>
      </c>
      <c r="D1296" s="42" t="s">
        <v>3416</v>
      </c>
      <c r="E1296" s="46">
        <v>46125</v>
      </c>
      <c r="F1296" s="26" t="s">
        <v>6222</v>
      </c>
      <c r="G1296" s="26" t="s">
        <v>6224</v>
      </c>
      <c r="H1296" s="26" t="s">
        <v>6223</v>
      </c>
      <c r="I1296" s="26" t="s">
        <v>6225</v>
      </c>
      <c r="J1296" s="26" t="s">
        <v>6224</v>
      </c>
      <c r="K1296" s="27"/>
      <c r="L1296" s="28" t="s">
        <v>6223</v>
      </c>
      <c r="M1296" s="29" t="str">
        <f t="shared" si="100"/>
        <v>✓ OK</v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3851</v>
      </c>
      <c r="C1297" s="25" t="s">
        <v>3852</v>
      </c>
      <c r="D1297" s="23" t="s">
        <v>3416</v>
      </c>
      <c r="E1297" s="46">
        <v>46125</v>
      </c>
      <c r="F1297" s="26" t="s">
        <v>6222</v>
      </c>
      <c r="G1297" s="26" t="s">
        <v>6224</v>
      </c>
      <c r="H1297" s="26" t="s">
        <v>6223</v>
      </c>
      <c r="I1297" s="26" t="s">
        <v>6225</v>
      </c>
      <c r="J1297" s="26" t="s">
        <v>6224</v>
      </c>
      <c r="K1297" s="27"/>
      <c r="L1297" s="28" t="s">
        <v>6223</v>
      </c>
      <c r="M1297" s="29" t="str">
        <f t="shared" si="100"/>
        <v>✓ OK</v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3853</v>
      </c>
      <c r="C1298" s="44" t="s">
        <v>3854</v>
      </c>
      <c r="D1298" s="42" t="s">
        <v>3416</v>
      </c>
      <c r="E1298" s="46">
        <v>46125</v>
      </c>
      <c r="F1298" s="26" t="s">
        <v>6222</v>
      </c>
      <c r="G1298" s="26" t="s">
        <v>6224</v>
      </c>
      <c r="H1298" s="26" t="s">
        <v>6223</v>
      </c>
      <c r="I1298" s="26" t="s">
        <v>6225</v>
      </c>
      <c r="J1298" s="26" t="s">
        <v>6224</v>
      </c>
      <c r="K1298" s="27"/>
      <c r="L1298" s="28" t="s">
        <v>6223</v>
      </c>
      <c r="M1298" s="29" t="str">
        <f t="shared" si="100"/>
        <v>✓ OK</v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3855</v>
      </c>
      <c r="C1299" s="25" t="s">
        <v>3856</v>
      </c>
      <c r="D1299" s="23" t="s">
        <v>3416</v>
      </c>
      <c r="E1299" s="46">
        <v>46125</v>
      </c>
      <c r="F1299" s="26" t="s">
        <v>6222</v>
      </c>
      <c r="G1299" s="26" t="s">
        <v>6224</v>
      </c>
      <c r="H1299" s="26" t="s">
        <v>6223</v>
      </c>
      <c r="I1299" s="26" t="s">
        <v>6225</v>
      </c>
      <c r="J1299" s="26" t="s">
        <v>6224</v>
      </c>
      <c r="K1299" s="27"/>
      <c r="L1299" s="28" t="s">
        <v>6223</v>
      </c>
      <c r="M1299" s="29" t="str">
        <f t="shared" si="100"/>
        <v>✓ OK</v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3857</v>
      </c>
      <c r="C1300" s="44" t="s">
        <v>3858</v>
      </c>
      <c r="D1300" s="42" t="s">
        <v>3416</v>
      </c>
      <c r="E1300" s="46">
        <v>46125</v>
      </c>
      <c r="F1300" s="26" t="s">
        <v>6222</v>
      </c>
      <c r="G1300" s="26" t="s">
        <v>6224</v>
      </c>
      <c r="H1300" s="26" t="s">
        <v>6223</v>
      </c>
      <c r="I1300" s="26" t="s">
        <v>6225</v>
      </c>
      <c r="J1300" s="26" t="s">
        <v>6224</v>
      </c>
      <c r="K1300" s="27"/>
      <c r="L1300" s="28" t="s">
        <v>6223</v>
      </c>
      <c r="M1300" s="29" t="str">
        <f t="shared" si="100"/>
        <v>✓ OK</v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3859</v>
      </c>
      <c r="C1301" s="25" t="s">
        <v>3860</v>
      </c>
      <c r="D1301" s="23" t="s">
        <v>3416</v>
      </c>
      <c r="E1301" s="46">
        <v>46125</v>
      </c>
      <c r="F1301" s="26" t="s">
        <v>6222</v>
      </c>
      <c r="G1301" s="26" t="s">
        <v>6224</v>
      </c>
      <c r="H1301" s="26" t="s">
        <v>6223</v>
      </c>
      <c r="I1301" s="26" t="s">
        <v>6225</v>
      </c>
      <c r="J1301" s="26" t="s">
        <v>6224</v>
      </c>
      <c r="K1301" s="27"/>
      <c r="L1301" s="28" t="s">
        <v>6223</v>
      </c>
      <c r="M1301" s="29" t="str">
        <f t="shared" si="100"/>
        <v>✓ OK</v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3861</v>
      </c>
      <c r="C1302" s="44" t="s">
        <v>3862</v>
      </c>
      <c r="D1302" s="42" t="s">
        <v>3416</v>
      </c>
      <c r="E1302" s="46">
        <v>46125</v>
      </c>
      <c r="F1302" s="26" t="s">
        <v>6222</v>
      </c>
      <c r="G1302" s="26" t="s">
        <v>6224</v>
      </c>
      <c r="H1302" s="26" t="s">
        <v>6223</v>
      </c>
      <c r="I1302" s="26" t="s">
        <v>6225</v>
      </c>
      <c r="J1302" s="26" t="s">
        <v>6224</v>
      </c>
      <c r="K1302" s="27"/>
      <c r="L1302" s="28" t="s">
        <v>6223</v>
      </c>
      <c r="M1302" s="29" t="str">
        <f t="shared" si="100"/>
        <v>✓ OK</v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3863</v>
      </c>
      <c r="C1303" s="25" t="s">
        <v>3864</v>
      </c>
      <c r="D1303" s="23" t="s">
        <v>3416</v>
      </c>
      <c r="E1303" s="46">
        <v>46125</v>
      </c>
      <c r="F1303" s="26" t="s">
        <v>6222</v>
      </c>
      <c r="G1303" s="26" t="s">
        <v>6224</v>
      </c>
      <c r="H1303" s="26" t="s">
        <v>6223</v>
      </c>
      <c r="I1303" s="26" t="s">
        <v>6225</v>
      </c>
      <c r="J1303" s="26" t="s">
        <v>6224</v>
      </c>
      <c r="K1303" s="27"/>
      <c r="L1303" s="28" t="s">
        <v>6223</v>
      </c>
      <c r="M1303" s="29" t="str">
        <f t="shared" si="100"/>
        <v>✓ OK</v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3865</v>
      </c>
      <c r="C1304" s="44" t="s">
        <v>3866</v>
      </c>
      <c r="D1304" s="42" t="s">
        <v>3416</v>
      </c>
      <c r="E1304" s="46">
        <v>46125</v>
      </c>
      <c r="F1304" s="26" t="s">
        <v>6222</v>
      </c>
      <c r="G1304" s="26" t="s">
        <v>6224</v>
      </c>
      <c r="H1304" s="26" t="s">
        <v>6223</v>
      </c>
      <c r="I1304" s="26" t="s">
        <v>6225</v>
      </c>
      <c r="J1304" s="26" t="s">
        <v>6224</v>
      </c>
      <c r="K1304" s="27"/>
      <c r="L1304" s="28" t="s">
        <v>6223</v>
      </c>
      <c r="M1304" s="29" t="str">
        <f t="shared" si="100"/>
        <v>✓ OK</v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3867</v>
      </c>
      <c r="C1305" s="25" t="s">
        <v>3868</v>
      </c>
      <c r="D1305" s="23" t="s">
        <v>3416</v>
      </c>
      <c r="E1305" s="46">
        <v>46125</v>
      </c>
      <c r="F1305" s="26" t="s">
        <v>6222</v>
      </c>
      <c r="G1305" s="26" t="s">
        <v>6224</v>
      </c>
      <c r="H1305" s="26" t="s">
        <v>6223</v>
      </c>
      <c r="I1305" s="26" t="s">
        <v>6225</v>
      </c>
      <c r="J1305" s="26" t="s">
        <v>6224</v>
      </c>
      <c r="K1305" s="27"/>
      <c r="L1305" s="28" t="s">
        <v>6223</v>
      </c>
      <c r="M1305" s="29" t="str">
        <f t="shared" si="100"/>
        <v>✓ OK</v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3869</v>
      </c>
      <c r="C1306" s="44" t="s">
        <v>3870</v>
      </c>
      <c r="D1306" s="42" t="s">
        <v>3416</v>
      </c>
      <c r="E1306" s="46">
        <v>46125</v>
      </c>
      <c r="F1306" s="26" t="s">
        <v>6222</v>
      </c>
      <c r="G1306" s="26" t="s">
        <v>6224</v>
      </c>
      <c r="H1306" s="26" t="s">
        <v>6223</v>
      </c>
      <c r="I1306" s="26" t="s">
        <v>6225</v>
      </c>
      <c r="J1306" s="26" t="s">
        <v>6224</v>
      </c>
      <c r="K1306" s="27"/>
      <c r="L1306" s="28" t="s">
        <v>6223</v>
      </c>
      <c r="M1306" s="29" t="str">
        <f t="shared" si="100"/>
        <v>✓ OK</v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3871</v>
      </c>
      <c r="C1307" s="25" t="s">
        <v>3872</v>
      </c>
      <c r="D1307" s="23" t="s">
        <v>3416</v>
      </c>
      <c r="E1307" s="46">
        <v>46125</v>
      </c>
      <c r="F1307" s="26" t="s">
        <v>6222</v>
      </c>
      <c r="G1307" s="26" t="s">
        <v>6224</v>
      </c>
      <c r="H1307" s="26" t="s">
        <v>6223</v>
      </c>
      <c r="I1307" s="26" t="s">
        <v>6225</v>
      </c>
      <c r="J1307" s="26" t="s">
        <v>6224</v>
      </c>
      <c r="K1307" s="27"/>
      <c r="L1307" s="28" t="s">
        <v>6223</v>
      </c>
      <c r="M1307" s="29" t="str">
        <f t="shared" si="100"/>
        <v>✓ OK</v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3873</v>
      </c>
      <c r="C1308" s="44" t="s">
        <v>3874</v>
      </c>
      <c r="D1308" s="42" t="s">
        <v>3416</v>
      </c>
      <c r="E1308" s="46">
        <v>46125</v>
      </c>
      <c r="F1308" s="26" t="s">
        <v>6222</v>
      </c>
      <c r="G1308" s="26" t="s">
        <v>6224</v>
      </c>
      <c r="H1308" s="26" t="s">
        <v>6223</v>
      </c>
      <c r="I1308" s="26" t="s">
        <v>6225</v>
      </c>
      <c r="J1308" s="26" t="s">
        <v>6224</v>
      </c>
      <c r="K1308" s="27"/>
      <c r="L1308" s="28" t="s">
        <v>6223</v>
      </c>
      <c r="M1308" s="29" t="str">
        <f t="shared" si="100"/>
        <v>✓ OK</v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3875</v>
      </c>
      <c r="C1309" s="25" t="s">
        <v>3876</v>
      </c>
      <c r="D1309" s="23" t="s">
        <v>3416</v>
      </c>
      <c r="E1309" s="46">
        <v>46125</v>
      </c>
      <c r="F1309" s="26" t="s">
        <v>6222</v>
      </c>
      <c r="G1309" s="26" t="s">
        <v>6224</v>
      </c>
      <c r="H1309" s="26" t="s">
        <v>6223</v>
      </c>
      <c r="I1309" s="26" t="s">
        <v>6225</v>
      </c>
      <c r="J1309" s="26" t="s">
        <v>6224</v>
      </c>
      <c r="K1309" s="27"/>
      <c r="L1309" s="28" t="s">
        <v>6223</v>
      </c>
      <c r="M1309" s="29" t="str">
        <f t="shared" si="100"/>
        <v>✓ OK</v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3877</v>
      </c>
      <c r="C1310" s="44" t="s">
        <v>3878</v>
      </c>
      <c r="D1310" s="42" t="s">
        <v>3416</v>
      </c>
      <c r="E1310" s="46">
        <v>46125</v>
      </c>
      <c r="F1310" s="26" t="s">
        <v>6222</v>
      </c>
      <c r="G1310" s="26" t="s">
        <v>6224</v>
      </c>
      <c r="H1310" s="26" t="s">
        <v>6223</v>
      </c>
      <c r="I1310" s="26" t="s">
        <v>6225</v>
      </c>
      <c r="J1310" s="26" t="s">
        <v>6224</v>
      </c>
      <c r="K1310" s="27"/>
      <c r="L1310" s="28" t="s">
        <v>6223</v>
      </c>
      <c r="M1310" s="29" t="str">
        <f t="shared" si="100"/>
        <v>✓ OK</v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3879</v>
      </c>
      <c r="C1311" s="25" t="s">
        <v>3880</v>
      </c>
      <c r="D1311" s="23" t="s">
        <v>3416</v>
      </c>
      <c r="E1311" s="46">
        <v>46125</v>
      </c>
      <c r="F1311" s="26" t="s">
        <v>6222</v>
      </c>
      <c r="G1311" s="26" t="s">
        <v>6224</v>
      </c>
      <c r="H1311" s="26" t="s">
        <v>6223</v>
      </c>
      <c r="I1311" s="26" t="s">
        <v>6225</v>
      </c>
      <c r="J1311" s="26" t="s">
        <v>6224</v>
      </c>
      <c r="K1311" s="27"/>
      <c r="L1311" s="28" t="s">
        <v>6223</v>
      </c>
      <c r="M1311" s="29" t="str">
        <f t="shared" si="100"/>
        <v>✓ OK</v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3881</v>
      </c>
      <c r="C1312" s="44" t="s">
        <v>3882</v>
      </c>
      <c r="D1312" s="42" t="s">
        <v>3416</v>
      </c>
      <c r="E1312" s="46">
        <v>46125</v>
      </c>
      <c r="F1312" s="26" t="s">
        <v>6222</v>
      </c>
      <c r="G1312" s="26" t="s">
        <v>6224</v>
      </c>
      <c r="H1312" s="26" t="s">
        <v>6223</v>
      </c>
      <c r="I1312" s="26" t="s">
        <v>6225</v>
      </c>
      <c r="J1312" s="26" t="s">
        <v>6224</v>
      </c>
      <c r="K1312" s="27"/>
      <c r="L1312" s="28" t="s">
        <v>6223</v>
      </c>
      <c r="M1312" s="29" t="str">
        <f t="shared" si="100"/>
        <v>✓ OK</v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3883</v>
      </c>
      <c r="C1313" s="25" t="s">
        <v>3884</v>
      </c>
      <c r="D1313" s="23" t="s">
        <v>3416</v>
      </c>
      <c r="E1313" s="46">
        <v>46125</v>
      </c>
      <c r="F1313" s="26" t="s">
        <v>6222</v>
      </c>
      <c r="G1313" s="26" t="s">
        <v>6224</v>
      </c>
      <c r="H1313" s="26" t="s">
        <v>6223</v>
      </c>
      <c r="I1313" s="26" t="s">
        <v>6225</v>
      </c>
      <c r="J1313" s="26" t="s">
        <v>6224</v>
      </c>
      <c r="K1313" s="27"/>
      <c r="L1313" s="28" t="s">
        <v>6223</v>
      </c>
      <c r="M1313" s="29" t="str">
        <f t="shared" si="100"/>
        <v>✓ OK</v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3885</v>
      </c>
      <c r="C1314" s="44" t="s">
        <v>3886</v>
      </c>
      <c r="D1314" s="42" t="s">
        <v>3416</v>
      </c>
      <c r="E1314" s="46">
        <v>46125</v>
      </c>
      <c r="F1314" s="26" t="s">
        <v>6222</v>
      </c>
      <c r="G1314" s="26" t="s">
        <v>6224</v>
      </c>
      <c r="H1314" s="26" t="s">
        <v>6223</v>
      </c>
      <c r="I1314" s="26" t="s">
        <v>6225</v>
      </c>
      <c r="J1314" s="26" t="s">
        <v>6224</v>
      </c>
      <c r="K1314" s="27"/>
      <c r="L1314" s="28" t="s">
        <v>6223</v>
      </c>
      <c r="M1314" s="29" t="str">
        <f t="shared" si="100"/>
        <v>✓ OK</v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3887</v>
      </c>
      <c r="C1315" s="25" t="s">
        <v>3888</v>
      </c>
      <c r="D1315" s="23" t="s">
        <v>3416</v>
      </c>
      <c r="E1315" s="46">
        <v>46125</v>
      </c>
      <c r="F1315" s="26" t="s">
        <v>6222</v>
      </c>
      <c r="G1315" s="26" t="s">
        <v>6224</v>
      </c>
      <c r="H1315" s="26" t="s">
        <v>6223</v>
      </c>
      <c r="I1315" s="26" t="s">
        <v>6225</v>
      </c>
      <c r="J1315" s="26" t="s">
        <v>6224</v>
      </c>
      <c r="K1315" s="27"/>
      <c r="L1315" s="28" t="s">
        <v>6223</v>
      </c>
      <c r="M1315" s="29" t="str">
        <f t="shared" si="100"/>
        <v>✓ OK</v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3889</v>
      </c>
      <c r="C1316" s="44" t="s">
        <v>3890</v>
      </c>
      <c r="D1316" s="42" t="s">
        <v>3416</v>
      </c>
      <c r="E1316" s="46">
        <v>46125</v>
      </c>
      <c r="F1316" s="26" t="s">
        <v>6222</v>
      </c>
      <c r="G1316" s="26" t="s">
        <v>6224</v>
      </c>
      <c r="H1316" s="26" t="s">
        <v>6223</v>
      </c>
      <c r="I1316" s="26" t="s">
        <v>6225</v>
      </c>
      <c r="J1316" s="26" t="s">
        <v>6224</v>
      </c>
      <c r="K1316" s="27"/>
      <c r="L1316" s="28" t="s">
        <v>6223</v>
      </c>
      <c r="M1316" s="29" t="str">
        <f t="shared" si="100"/>
        <v>✓ OK</v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3891</v>
      </c>
      <c r="C1317" s="25" t="s">
        <v>3892</v>
      </c>
      <c r="D1317" s="23" t="s">
        <v>3416</v>
      </c>
      <c r="E1317" s="46">
        <v>46125</v>
      </c>
      <c r="F1317" s="26" t="s">
        <v>6222</v>
      </c>
      <c r="G1317" s="26" t="s">
        <v>6224</v>
      </c>
      <c r="H1317" s="26" t="s">
        <v>6223</v>
      </c>
      <c r="I1317" s="26" t="s">
        <v>6225</v>
      </c>
      <c r="J1317" s="26" t="s">
        <v>6224</v>
      </c>
      <c r="K1317" s="27"/>
      <c r="L1317" s="28" t="s">
        <v>6223</v>
      </c>
      <c r="M1317" s="29" t="str">
        <f t="shared" si="100"/>
        <v>✓ OK</v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3893</v>
      </c>
      <c r="C1318" s="44" t="s">
        <v>3894</v>
      </c>
      <c r="D1318" s="42" t="s">
        <v>3416</v>
      </c>
      <c r="E1318" s="46">
        <v>46125</v>
      </c>
      <c r="F1318" s="26" t="s">
        <v>6222</v>
      </c>
      <c r="G1318" s="26" t="s">
        <v>6224</v>
      </c>
      <c r="H1318" s="26" t="s">
        <v>6223</v>
      </c>
      <c r="I1318" s="26" t="s">
        <v>6225</v>
      </c>
      <c r="J1318" s="26" t="s">
        <v>6224</v>
      </c>
      <c r="K1318" s="27"/>
      <c r="L1318" s="28" t="s">
        <v>6223</v>
      </c>
      <c r="M1318" s="29" t="str">
        <f t="shared" si="100"/>
        <v>✓ OK</v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3895</v>
      </c>
      <c r="C1319" s="25" t="s">
        <v>3896</v>
      </c>
      <c r="D1319" s="23" t="s">
        <v>3416</v>
      </c>
      <c r="E1319" s="46">
        <v>46125</v>
      </c>
      <c r="F1319" s="26" t="s">
        <v>6222</v>
      </c>
      <c r="G1319" s="26" t="s">
        <v>6224</v>
      </c>
      <c r="H1319" s="26" t="s">
        <v>6223</v>
      </c>
      <c r="I1319" s="26" t="s">
        <v>6225</v>
      </c>
      <c r="J1319" s="26" t="s">
        <v>6224</v>
      </c>
      <c r="K1319" s="27"/>
      <c r="L1319" s="28" t="s">
        <v>6223</v>
      </c>
      <c r="M1319" s="29" t="str">
        <f t="shared" si="100"/>
        <v>✓ OK</v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3897</v>
      </c>
      <c r="C1320" s="44" t="s">
        <v>3898</v>
      </c>
      <c r="D1320" s="42" t="s">
        <v>3416</v>
      </c>
      <c r="E1320" s="46">
        <v>46125</v>
      </c>
      <c r="F1320" s="26" t="s">
        <v>6222</v>
      </c>
      <c r="G1320" s="26" t="s">
        <v>6224</v>
      </c>
      <c r="H1320" s="26" t="s">
        <v>6223</v>
      </c>
      <c r="I1320" s="26" t="s">
        <v>6225</v>
      </c>
      <c r="J1320" s="26" t="s">
        <v>6224</v>
      </c>
      <c r="K1320" s="27"/>
      <c r="L1320" s="28" t="s">
        <v>6223</v>
      </c>
      <c r="M1320" s="29" t="str">
        <f t="shared" si="100"/>
        <v>✓ OK</v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3899</v>
      </c>
      <c r="C1321" s="25" t="s">
        <v>3900</v>
      </c>
      <c r="D1321" s="23" t="s">
        <v>3416</v>
      </c>
      <c r="E1321" s="46">
        <v>46125</v>
      </c>
      <c r="F1321" s="26" t="s">
        <v>6222</v>
      </c>
      <c r="G1321" s="26" t="s">
        <v>6224</v>
      </c>
      <c r="H1321" s="26" t="s">
        <v>6223</v>
      </c>
      <c r="I1321" s="26" t="s">
        <v>6225</v>
      </c>
      <c r="J1321" s="26" t="s">
        <v>6224</v>
      </c>
      <c r="K1321" s="27"/>
      <c r="L1321" s="28" t="s">
        <v>6223</v>
      </c>
      <c r="M1321" s="29" t="str">
        <f t="shared" si="100"/>
        <v>✓ OK</v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3901</v>
      </c>
      <c r="C1322" s="44" t="s">
        <v>3902</v>
      </c>
      <c r="D1322" s="42" t="s">
        <v>3416</v>
      </c>
      <c r="E1322" s="46">
        <v>46125</v>
      </c>
      <c r="F1322" s="26" t="s">
        <v>6222</v>
      </c>
      <c r="G1322" s="26" t="s">
        <v>6224</v>
      </c>
      <c r="H1322" s="26" t="s">
        <v>6223</v>
      </c>
      <c r="I1322" s="26" t="s">
        <v>6225</v>
      </c>
      <c r="J1322" s="26" t="s">
        <v>6224</v>
      </c>
      <c r="K1322" s="27"/>
      <c r="L1322" s="28" t="s">
        <v>6223</v>
      </c>
      <c r="M1322" s="29" t="str">
        <f t="shared" si="100"/>
        <v>✓ OK</v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3903</v>
      </c>
      <c r="C1323" s="25" t="s">
        <v>3904</v>
      </c>
      <c r="D1323" s="23" t="s">
        <v>3416</v>
      </c>
      <c r="E1323" s="46">
        <v>46125</v>
      </c>
      <c r="F1323" s="26" t="s">
        <v>6222</v>
      </c>
      <c r="G1323" s="26" t="s">
        <v>6224</v>
      </c>
      <c r="H1323" s="26" t="s">
        <v>6223</v>
      </c>
      <c r="I1323" s="26" t="s">
        <v>6225</v>
      </c>
      <c r="J1323" s="26" t="s">
        <v>6224</v>
      </c>
      <c r="K1323" s="27"/>
      <c r="L1323" s="28" t="s">
        <v>6223</v>
      </c>
      <c r="M1323" s="29" t="str">
        <f t="shared" si="100"/>
        <v>✓ OK</v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3905</v>
      </c>
      <c r="C1324" s="44" t="s">
        <v>3906</v>
      </c>
      <c r="D1324" s="42" t="s">
        <v>3416</v>
      </c>
      <c r="E1324" s="46">
        <v>46125</v>
      </c>
      <c r="F1324" s="26" t="s">
        <v>6222</v>
      </c>
      <c r="G1324" s="26" t="s">
        <v>6224</v>
      </c>
      <c r="H1324" s="26" t="s">
        <v>6223</v>
      </c>
      <c r="I1324" s="26" t="s">
        <v>6225</v>
      </c>
      <c r="J1324" s="26" t="s">
        <v>6224</v>
      </c>
      <c r="K1324" s="27"/>
      <c r="L1324" s="28" t="s">
        <v>6223</v>
      </c>
      <c r="M1324" s="29" t="str">
        <f t="shared" si="100"/>
        <v>✓ OK</v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3907</v>
      </c>
      <c r="C1325" s="25" t="s">
        <v>3908</v>
      </c>
      <c r="D1325" s="23" t="s">
        <v>3416</v>
      </c>
      <c r="E1325" s="46">
        <v>46125</v>
      </c>
      <c r="F1325" s="26" t="s">
        <v>6222</v>
      </c>
      <c r="G1325" s="26" t="s">
        <v>6224</v>
      </c>
      <c r="H1325" s="26" t="s">
        <v>6223</v>
      </c>
      <c r="I1325" s="26" t="s">
        <v>6225</v>
      </c>
      <c r="J1325" s="26" t="s">
        <v>6224</v>
      </c>
      <c r="K1325" s="27"/>
      <c r="L1325" s="28" t="s">
        <v>6223</v>
      </c>
      <c r="M1325" s="29" t="str">
        <f t="shared" si="100"/>
        <v>✓ OK</v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3909</v>
      </c>
      <c r="C1326" s="44" t="s">
        <v>3910</v>
      </c>
      <c r="D1326" s="42" t="s">
        <v>3416</v>
      </c>
      <c r="E1326" s="46">
        <v>46125</v>
      </c>
      <c r="F1326" s="26" t="s">
        <v>6222</v>
      </c>
      <c r="G1326" s="26" t="s">
        <v>6224</v>
      </c>
      <c r="H1326" s="26" t="s">
        <v>6223</v>
      </c>
      <c r="I1326" s="26" t="s">
        <v>6225</v>
      </c>
      <c r="J1326" s="26" t="s">
        <v>6224</v>
      </c>
      <c r="K1326" s="27"/>
      <c r="L1326" s="28" t="s">
        <v>6223</v>
      </c>
      <c r="M1326" s="29" t="str">
        <f t="shared" si="100"/>
        <v>✓ OK</v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3911</v>
      </c>
      <c r="C1327" s="25" t="s">
        <v>3912</v>
      </c>
      <c r="D1327" s="23" t="s">
        <v>3416</v>
      </c>
      <c r="E1327" s="46">
        <v>46125</v>
      </c>
      <c r="F1327" s="26" t="s">
        <v>6222</v>
      </c>
      <c r="G1327" s="26" t="s">
        <v>6224</v>
      </c>
      <c r="H1327" s="26" t="s">
        <v>6223</v>
      </c>
      <c r="I1327" s="26" t="s">
        <v>6225</v>
      </c>
      <c r="J1327" s="26" t="s">
        <v>6224</v>
      </c>
      <c r="K1327" s="27"/>
      <c r="L1327" s="28" t="s">
        <v>6223</v>
      </c>
      <c r="M1327" s="29" t="str">
        <f t="shared" si="100"/>
        <v>✓ OK</v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3913</v>
      </c>
      <c r="C1328" s="44" t="s">
        <v>3914</v>
      </c>
      <c r="D1328" s="42" t="s">
        <v>3416</v>
      </c>
      <c r="E1328" s="46">
        <v>46125</v>
      </c>
      <c r="F1328" s="26" t="s">
        <v>6222</v>
      </c>
      <c r="G1328" s="26" t="s">
        <v>6224</v>
      </c>
      <c r="H1328" s="26" t="s">
        <v>6223</v>
      </c>
      <c r="I1328" s="26" t="s">
        <v>6225</v>
      </c>
      <c r="J1328" s="26" t="s">
        <v>6224</v>
      </c>
      <c r="K1328" s="27"/>
      <c r="L1328" s="28" t="s">
        <v>6223</v>
      </c>
      <c r="M1328" s="29" t="str">
        <f t="shared" si="100"/>
        <v>✓ OK</v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3915</v>
      </c>
      <c r="C1329" s="25" t="s">
        <v>3916</v>
      </c>
      <c r="D1329" s="23" t="s">
        <v>3416</v>
      </c>
      <c r="E1329" s="46">
        <v>46125</v>
      </c>
      <c r="F1329" s="26" t="s">
        <v>6222</v>
      </c>
      <c r="G1329" s="26" t="s">
        <v>6224</v>
      </c>
      <c r="H1329" s="26" t="s">
        <v>6223</v>
      </c>
      <c r="I1329" s="26" t="s">
        <v>6225</v>
      </c>
      <c r="J1329" s="26" t="s">
        <v>6224</v>
      </c>
      <c r="K1329" s="27"/>
      <c r="L1329" s="28" t="s">
        <v>6223</v>
      </c>
      <c r="M1329" s="29" t="str">
        <f t="shared" si="100"/>
        <v>✓ OK</v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3917</v>
      </c>
      <c r="C1330" s="44" t="s">
        <v>3918</v>
      </c>
      <c r="D1330" s="42" t="s">
        <v>3416</v>
      </c>
      <c r="E1330" s="46">
        <v>46125</v>
      </c>
      <c r="F1330" s="26" t="s">
        <v>6222</v>
      </c>
      <c r="G1330" s="26" t="s">
        <v>6224</v>
      </c>
      <c r="H1330" s="26" t="s">
        <v>6223</v>
      </c>
      <c r="I1330" s="26" t="s">
        <v>6225</v>
      </c>
      <c r="J1330" s="26" t="s">
        <v>6224</v>
      </c>
      <c r="K1330" s="27"/>
      <c r="L1330" s="28" t="s">
        <v>6223</v>
      </c>
      <c r="M1330" s="29" t="str">
        <f t="shared" si="100"/>
        <v>✓ OK</v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3919</v>
      </c>
      <c r="C1331" s="25" t="s">
        <v>3920</v>
      </c>
      <c r="D1331" s="23" t="s">
        <v>3416</v>
      </c>
      <c r="E1331" s="46">
        <v>46125</v>
      </c>
      <c r="F1331" s="26" t="s">
        <v>6222</v>
      </c>
      <c r="G1331" s="26" t="s">
        <v>6224</v>
      </c>
      <c r="H1331" s="26" t="s">
        <v>6223</v>
      </c>
      <c r="I1331" s="26" t="s">
        <v>6225</v>
      </c>
      <c r="J1331" s="26" t="s">
        <v>6224</v>
      </c>
      <c r="K1331" s="27"/>
      <c r="L1331" s="28" t="s">
        <v>6223</v>
      </c>
      <c r="M1331" s="29" t="str">
        <f t="shared" si="100"/>
        <v>✓ OK</v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3921</v>
      </c>
      <c r="C1332" s="44" t="s">
        <v>3922</v>
      </c>
      <c r="D1332" s="42" t="s">
        <v>3416</v>
      </c>
      <c r="E1332" s="46">
        <v>46125</v>
      </c>
      <c r="F1332" s="26" t="s">
        <v>6222</v>
      </c>
      <c r="G1332" s="26" t="s">
        <v>6224</v>
      </c>
      <c r="H1332" s="26" t="s">
        <v>6223</v>
      </c>
      <c r="I1332" s="26" t="s">
        <v>6225</v>
      </c>
      <c r="J1332" s="26" t="s">
        <v>6224</v>
      </c>
      <c r="K1332" s="27"/>
      <c r="L1332" s="28" t="s">
        <v>6223</v>
      </c>
      <c r="M1332" s="29" t="str">
        <f t="shared" si="100"/>
        <v>✓ OK</v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3923</v>
      </c>
      <c r="C1333" s="25" t="s">
        <v>3924</v>
      </c>
      <c r="D1333" s="23" t="s">
        <v>3416</v>
      </c>
      <c r="E1333" s="46">
        <v>46125</v>
      </c>
      <c r="F1333" s="26" t="s">
        <v>6222</v>
      </c>
      <c r="G1333" s="26" t="s">
        <v>6224</v>
      </c>
      <c r="H1333" s="26" t="s">
        <v>6223</v>
      </c>
      <c r="I1333" s="26" t="s">
        <v>6225</v>
      </c>
      <c r="J1333" s="26" t="s">
        <v>6224</v>
      </c>
      <c r="K1333" s="27"/>
      <c r="L1333" s="28" t="s">
        <v>6223</v>
      </c>
      <c r="M1333" s="29" t="str">
        <f t="shared" si="100"/>
        <v>✓ OK</v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3925</v>
      </c>
      <c r="C1334" s="44" t="s">
        <v>3926</v>
      </c>
      <c r="D1334" s="42" t="s">
        <v>3416</v>
      </c>
      <c r="E1334" s="46">
        <v>46125</v>
      </c>
      <c r="F1334" s="26" t="s">
        <v>6222</v>
      </c>
      <c r="G1334" s="26" t="s">
        <v>6224</v>
      </c>
      <c r="H1334" s="26" t="s">
        <v>6223</v>
      </c>
      <c r="I1334" s="26" t="s">
        <v>6225</v>
      </c>
      <c r="J1334" s="26" t="s">
        <v>6224</v>
      </c>
      <c r="K1334" s="27"/>
      <c r="L1334" s="28" t="s">
        <v>6223</v>
      </c>
      <c r="M1334" s="29" t="str">
        <f t="shared" si="100"/>
        <v>✓ OK</v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3927</v>
      </c>
      <c r="C1335" s="25" t="s">
        <v>3928</v>
      </c>
      <c r="D1335" s="23" t="s">
        <v>3416</v>
      </c>
      <c r="E1335" s="46">
        <v>46125</v>
      </c>
      <c r="F1335" s="26" t="s">
        <v>6222</v>
      </c>
      <c r="G1335" s="26" t="s">
        <v>6224</v>
      </c>
      <c r="H1335" s="26" t="s">
        <v>6223</v>
      </c>
      <c r="I1335" s="26" t="s">
        <v>6225</v>
      </c>
      <c r="J1335" s="26" t="s">
        <v>6224</v>
      </c>
      <c r="K1335" s="27"/>
      <c r="L1335" s="28" t="s">
        <v>6223</v>
      </c>
      <c r="M1335" s="29" t="str">
        <f t="shared" si="100"/>
        <v>✓ OK</v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3929</v>
      </c>
      <c r="C1336" s="44" t="s">
        <v>3930</v>
      </c>
      <c r="D1336" s="42" t="s">
        <v>3416</v>
      </c>
      <c r="E1336" s="46">
        <v>46125</v>
      </c>
      <c r="F1336" s="26" t="s">
        <v>6222</v>
      </c>
      <c r="G1336" s="26" t="s">
        <v>6224</v>
      </c>
      <c r="H1336" s="26" t="s">
        <v>6223</v>
      </c>
      <c r="I1336" s="26" t="s">
        <v>6225</v>
      </c>
      <c r="J1336" s="26" t="s">
        <v>6224</v>
      </c>
      <c r="K1336" s="27"/>
      <c r="L1336" s="28" t="s">
        <v>6223</v>
      </c>
      <c r="M1336" s="29" t="str">
        <f t="shared" si="100"/>
        <v>✓ OK</v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3931</v>
      </c>
      <c r="C1337" s="25" t="s">
        <v>3932</v>
      </c>
      <c r="D1337" s="23" t="s">
        <v>3416</v>
      </c>
      <c r="E1337" s="46">
        <v>46125</v>
      </c>
      <c r="F1337" s="26" t="s">
        <v>6222</v>
      </c>
      <c r="G1337" s="26" t="s">
        <v>6224</v>
      </c>
      <c r="H1337" s="26" t="s">
        <v>6223</v>
      </c>
      <c r="I1337" s="26" t="s">
        <v>6225</v>
      </c>
      <c r="J1337" s="26" t="s">
        <v>6224</v>
      </c>
      <c r="K1337" s="27"/>
      <c r="L1337" s="28" t="s">
        <v>6223</v>
      </c>
      <c r="M1337" s="29" t="str">
        <f t="shared" si="100"/>
        <v>✓ OK</v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3933</v>
      </c>
      <c r="C1338" s="44" t="s">
        <v>3934</v>
      </c>
      <c r="D1338" s="42" t="s">
        <v>3416</v>
      </c>
      <c r="E1338" s="46">
        <v>46125</v>
      </c>
      <c r="F1338" s="26" t="s">
        <v>6222</v>
      </c>
      <c r="G1338" s="26" t="s">
        <v>6224</v>
      </c>
      <c r="H1338" s="26" t="s">
        <v>6223</v>
      </c>
      <c r="I1338" s="26" t="s">
        <v>6225</v>
      </c>
      <c r="J1338" s="26" t="s">
        <v>6224</v>
      </c>
      <c r="K1338" s="27"/>
      <c r="L1338" s="28" t="s">
        <v>6223</v>
      </c>
      <c r="M1338" s="29" t="str">
        <f t="shared" si="100"/>
        <v>✓ OK</v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3935</v>
      </c>
      <c r="C1339" s="25" t="s">
        <v>3936</v>
      </c>
      <c r="D1339" s="23" t="s">
        <v>3416</v>
      </c>
      <c r="E1339" s="46">
        <v>46125</v>
      </c>
      <c r="F1339" s="26" t="s">
        <v>6222</v>
      </c>
      <c r="G1339" s="26" t="s">
        <v>6224</v>
      </c>
      <c r="H1339" s="26" t="s">
        <v>6223</v>
      </c>
      <c r="I1339" s="26" t="s">
        <v>6225</v>
      </c>
      <c r="J1339" s="26" t="s">
        <v>6224</v>
      </c>
      <c r="K1339" s="27"/>
      <c r="L1339" s="28" t="s">
        <v>6223</v>
      </c>
      <c r="M1339" s="29" t="str">
        <f t="shared" si="100"/>
        <v>✓ OK</v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3937</v>
      </c>
      <c r="C1340" s="44" t="s">
        <v>3938</v>
      </c>
      <c r="D1340" s="42" t="s">
        <v>3416</v>
      </c>
      <c r="E1340" s="46">
        <v>46125</v>
      </c>
      <c r="F1340" s="26" t="s">
        <v>6222</v>
      </c>
      <c r="G1340" s="26" t="s">
        <v>6224</v>
      </c>
      <c r="H1340" s="26" t="s">
        <v>6223</v>
      </c>
      <c r="I1340" s="26" t="s">
        <v>6225</v>
      </c>
      <c r="J1340" s="26" t="s">
        <v>6224</v>
      </c>
      <c r="K1340" s="27"/>
      <c r="L1340" s="28" t="s">
        <v>6223</v>
      </c>
      <c r="M1340" s="29" t="str">
        <f t="shared" si="100"/>
        <v>✓ OK</v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3939</v>
      </c>
      <c r="C1341" s="25" t="s">
        <v>3940</v>
      </c>
      <c r="D1341" s="23" t="s">
        <v>3416</v>
      </c>
      <c r="E1341" s="46">
        <v>46125</v>
      </c>
      <c r="F1341" s="26" t="s">
        <v>6222</v>
      </c>
      <c r="G1341" s="26" t="s">
        <v>6224</v>
      </c>
      <c r="H1341" s="26" t="s">
        <v>6223</v>
      </c>
      <c r="I1341" s="26" t="s">
        <v>6225</v>
      </c>
      <c r="J1341" s="26" t="s">
        <v>6224</v>
      </c>
      <c r="K1341" s="27"/>
      <c r="L1341" s="28" t="s">
        <v>6223</v>
      </c>
      <c r="M1341" s="29" t="str">
        <f t="shared" si="100"/>
        <v>✓ OK</v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3941</v>
      </c>
      <c r="C1342" s="44" t="s">
        <v>3942</v>
      </c>
      <c r="D1342" s="42" t="s">
        <v>3416</v>
      </c>
      <c r="E1342" s="46">
        <v>46125</v>
      </c>
      <c r="F1342" s="26" t="s">
        <v>6222</v>
      </c>
      <c r="G1342" s="26" t="s">
        <v>6224</v>
      </c>
      <c r="H1342" s="26" t="s">
        <v>6223</v>
      </c>
      <c r="I1342" s="26" t="s">
        <v>6225</v>
      </c>
      <c r="J1342" s="26" t="s">
        <v>6224</v>
      </c>
      <c r="K1342" s="27"/>
      <c r="L1342" s="28" t="s">
        <v>6223</v>
      </c>
      <c r="M1342" s="29" t="str">
        <f t="shared" si="100"/>
        <v>✓ OK</v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3943</v>
      </c>
      <c r="C1343" s="25" t="s">
        <v>3944</v>
      </c>
      <c r="D1343" s="23" t="s">
        <v>3416</v>
      </c>
      <c r="E1343" s="46">
        <v>46125</v>
      </c>
      <c r="F1343" s="26" t="s">
        <v>6222</v>
      </c>
      <c r="G1343" s="26" t="s">
        <v>6224</v>
      </c>
      <c r="H1343" s="26" t="s">
        <v>6223</v>
      </c>
      <c r="I1343" s="26" t="s">
        <v>6225</v>
      </c>
      <c r="J1343" s="26" t="s">
        <v>6224</v>
      </c>
      <c r="K1343" s="27"/>
      <c r="L1343" s="28" t="s">
        <v>6223</v>
      </c>
      <c r="M1343" s="29" t="str">
        <f t="shared" si="100"/>
        <v>✓ OK</v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3945</v>
      </c>
      <c r="C1344" s="44" t="s">
        <v>3946</v>
      </c>
      <c r="D1344" s="42" t="s">
        <v>3416</v>
      </c>
      <c r="E1344" s="46">
        <v>46125</v>
      </c>
      <c r="F1344" s="26" t="s">
        <v>6222</v>
      </c>
      <c r="G1344" s="26" t="s">
        <v>6224</v>
      </c>
      <c r="H1344" s="26" t="s">
        <v>6223</v>
      </c>
      <c r="I1344" s="26" t="s">
        <v>6225</v>
      </c>
      <c r="J1344" s="26" t="s">
        <v>6224</v>
      </c>
      <c r="K1344" s="27"/>
      <c r="L1344" s="28" t="s">
        <v>6223</v>
      </c>
      <c r="M1344" s="29" t="str">
        <f t="shared" si="100"/>
        <v>✓ OK</v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3947</v>
      </c>
      <c r="C1345" s="25" t="s">
        <v>3948</v>
      </c>
      <c r="D1345" s="23" t="s">
        <v>3416</v>
      </c>
      <c r="E1345" s="46">
        <v>46125</v>
      </c>
      <c r="F1345" s="26" t="s">
        <v>6222</v>
      </c>
      <c r="G1345" s="26" t="s">
        <v>6224</v>
      </c>
      <c r="H1345" s="26" t="s">
        <v>6223</v>
      </c>
      <c r="I1345" s="26" t="s">
        <v>6225</v>
      </c>
      <c r="J1345" s="26" t="s">
        <v>6224</v>
      </c>
      <c r="K1345" s="27"/>
      <c r="L1345" s="28" t="s">
        <v>6223</v>
      </c>
      <c r="M1345" s="29" t="str">
        <f t="shared" si="100"/>
        <v>✓ OK</v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3949</v>
      </c>
      <c r="C1346" s="44" t="s">
        <v>3950</v>
      </c>
      <c r="D1346" s="42" t="s">
        <v>3416</v>
      </c>
      <c r="E1346" s="46">
        <v>46125</v>
      </c>
      <c r="F1346" s="26" t="s">
        <v>6222</v>
      </c>
      <c r="G1346" s="26" t="s">
        <v>6224</v>
      </c>
      <c r="H1346" s="26" t="s">
        <v>6223</v>
      </c>
      <c r="I1346" s="26" t="s">
        <v>6225</v>
      </c>
      <c r="J1346" s="26" t="s">
        <v>6224</v>
      </c>
      <c r="K1346" s="27"/>
      <c r="L1346" s="28" t="s">
        <v>6223</v>
      </c>
      <c r="M1346" s="29" t="str">
        <f t="shared" si="100"/>
        <v>✓ OK</v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3951</v>
      </c>
      <c r="C1347" s="25" t="s">
        <v>3952</v>
      </c>
      <c r="D1347" s="23" t="s">
        <v>3416</v>
      </c>
      <c r="E1347" s="46">
        <v>46125</v>
      </c>
      <c r="F1347" s="26" t="s">
        <v>6222</v>
      </c>
      <c r="G1347" s="26" t="s">
        <v>6224</v>
      </c>
      <c r="H1347" s="26" t="s">
        <v>6223</v>
      </c>
      <c r="I1347" s="26" t="s">
        <v>6225</v>
      </c>
      <c r="J1347" s="26" t="s">
        <v>6224</v>
      </c>
      <c r="K1347" s="27"/>
      <c r="L1347" s="28" t="s">
        <v>6223</v>
      </c>
      <c r="M1347" s="29" t="str">
        <f t="shared" si="100"/>
        <v>✓ OK</v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3953</v>
      </c>
      <c r="C1348" s="44" t="s">
        <v>3954</v>
      </c>
      <c r="D1348" s="42" t="s">
        <v>3416</v>
      </c>
      <c r="E1348" s="46">
        <v>46125</v>
      </c>
      <c r="F1348" s="26" t="s">
        <v>6222</v>
      </c>
      <c r="G1348" s="26" t="s">
        <v>6224</v>
      </c>
      <c r="H1348" s="26" t="s">
        <v>6223</v>
      </c>
      <c r="I1348" s="26" t="s">
        <v>6225</v>
      </c>
      <c r="J1348" s="26" t="s">
        <v>6224</v>
      </c>
      <c r="K1348" s="27"/>
      <c r="L1348" s="28" t="s">
        <v>6223</v>
      </c>
      <c r="M1348" s="29" t="str">
        <f t="shared" si="100"/>
        <v>✓ OK</v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3955</v>
      </c>
      <c r="C1349" s="25" t="s">
        <v>3956</v>
      </c>
      <c r="D1349" s="23" t="s">
        <v>3416</v>
      </c>
      <c r="E1349" s="46">
        <v>46125</v>
      </c>
      <c r="F1349" s="26" t="s">
        <v>6222</v>
      </c>
      <c r="G1349" s="26" t="s">
        <v>6224</v>
      </c>
      <c r="H1349" s="26" t="s">
        <v>6223</v>
      </c>
      <c r="I1349" s="26" t="s">
        <v>6225</v>
      </c>
      <c r="J1349" s="26" t="s">
        <v>6224</v>
      </c>
      <c r="K1349" s="27"/>
      <c r="L1349" s="28" t="s">
        <v>6223</v>
      </c>
      <c r="M1349" s="29" t="str">
        <f t="shared" ref="M1349:M1413" si="105">IF(E1349="","",IF(H1349="Yes","❌ Disc",IF(G1349="No","⚠ Missing",IF(J1349="Yes","✓ OK","⚠ Check"))))</f>
        <v>✓ OK</v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3957</v>
      </c>
      <c r="C1350" s="44" t="s">
        <v>3958</v>
      </c>
      <c r="D1350" s="42" t="s">
        <v>3416</v>
      </c>
      <c r="E1350" s="46">
        <v>46125</v>
      </c>
      <c r="F1350" s="26" t="s">
        <v>6222</v>
      </c>
      <c r="G1350" s="26" t="s">
        <v>6224</v>
      </c>
      <c r="H1350" s="26" t="s">
        <v>6223</v>
      </c>
      <c r="I1350" s="26" t="s">
        <v>6225</v>
      </c>
      <c r="J1350" s="26" t="s">
        <v>6224</v>
      </c>
      <c r="K1350" s="27"/>
      <c r="L1350" s="28" t="s">
        <v>6223</v>
      </c>
      <c r="M1350" s="29" t="str">
        <f t="shared" si="105"/>
        <v>✓ OK</v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3959</v>
      </c>
      <c r="C1351" s="25" t="s">
        <v>3960</v>
      </c>
      <c r="D1351" s="23" t="s">
        <v>3416</v>
      </c>
      <c r="E1351" s="46">
        <v>46125</v>
      </c>
      <c r="F1351" s="26" t="s">
        <v>6222</v>
      </c>
      <c r="G1351" s="26" t="s">
        <v>6224</v>
      </c>
      <c r="H1351" s="26" t="s">
        <v>6223</v>
      </c>
      <c r="I1351" s="26" t="s">
        <v>6225</v>
      </c>
      <c r="J1351" s="26" t="s">
        <v>6224</v>
      </c>
      <c r="K1351" s="27"/>
      <c r="L1351" s="28" t="s">
        <v>6223</v>
      </c>
      <c r="M1351" s="29" t="str">
        <f t="shared" si="105"/>
        <v>✓ OK</v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3961</v>
      </c>
      <c r="C1352" s="44" t="s">
        <v>3962</v>
      </c>
      <c r="D1352" s="42" t="s">
        <v>3416</v>
      </c>
      <c r="E1352" s="46">
        <v>46125</v>
      </c>
      <c r="F1352" s="26" t="s">
        <v>6222</v>
      </c>
      <c r="G1352" s="26" t="s">
        <v>6224</v>
      </c>
      <c r="H1352" s="26" t="s">
        <v>6223</v>
      </c>
      <c r="I1352" s="26" t="s">
        <v>6225</v>
      </c>
      <c r="J1352" s="26" t="s">
        <v>6224</v>
      </c>
      <c r="K1352" s="27"/>
      <c r="L1352" s="28" t="s">
        <v>6223</v>
      </c>
      <c r="M1352" s="29" t="str">
        <f t="shared" si="105"/>
        <v>✓ OK</v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3963</v>
      </c>
      <c r="C1353" s="25" t="s">
        <v>3964</v>
      </c>
      <c r="D1353" s="23" t="s">
        <v>3416</v>
      </c>
      <c r="E1353" s="46">
        <v>46125</v>
      </c>
      <c r="F1353" s="26" t="s">
        <v>6222</v>
      </c>
      <c r="G1353" s="26" t="s">
        <v>6224</v>
      </c>
      <c r="H1353" s="26" t="s">
        <v>6223</v>
      </c>
      <c r="I1353" s="26" t="s">
        <v>6225</v>
      </c>
      <c r="J1353" s="26" t="s">
        <v>6224</v>
      </c>
      <c r="K1353" s="27"/>
      <c r="L1353" s="28" t="s">
        <v>6223</v>
      </c>
      <c r="M1353" s="29" t="str">
        <f t="shared" si="105"/>
        <v>✓ OK</v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3965</v>
      </c>
      <c r="C1354" s="44" t="s">
        <v>3966</v>
      </c>
      <c r="D1354" s="42" t="s">
        <v>3416</v>
      </c>
      <c r="E1354" s="46">
        <v>46125</v>
      </c>
      <c r="F1354" s="26" t="s">
        <v>6222</v>
      </c>
      <c r="G1354" s="26" t="s">
        <v>6224</v>
      </c>
      <c r="H1354" s="26" t="s">
        <v>6223</v>
      </c>
      <c r="I1354" s="26" t="s">
        <v>6225</v>
      </c>
      <c r="J1354" s="26" t="s">
        <v>6224</v>
      </c>
      <c r="K1354" s="27"/>
      <c r="L1354" s="28" t="s">
        <v>6223</v>
      </c>
      <c r="M1354" s="29" t="str">
        <f t="shared" si="105"/>
        <v>✓ OK</v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3967</v>
      </c>
      <c r="C1355" s="25" t="s">
        <v>3968</v>
      </c>
      <c r="D1355" s="23" t="s">
        <v>3416</v>
      </c>
      <c r="E1355" s="46">
        <v>46125</v>
      </c>
      <c r="F1355" s="26" t="s">
        <v>6222</v>
      </c>
      <c r="G1355" s="26" t="s">
        <v>6224</v>
      </c>
      <c r="H1355" s="26" t="s">
        <v>6223</v>
      </c>
      <c r="I1355" s="26" t="s">
        <v>6225</v>
      </c>
      <c r="J1355" s="26" t="s">
        <v>6224</v>
      </c>
      <c r="K1355" s="27"/>
      <c r="L1355" s="28" t="s">
        <v>6223</v>
      </c>
      <c r="M1355" s="29" t="str">
        <f t="shared" si="105"/>
        <v>✓ OK</v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3969</v>
      </c>
      <c r="C1356" s="44" t="s">
        <v>3970</v>
      </c>
      <c r="D1356" s="42" t="s">
        <v>3416</v>
      </c>
      <c r="E1356" s="46">
        <v>46125</v>
      </c>
      <c r="F1356" s="26" t="s">
        <v>6222</v>
      </c>
      <c r="G1356" s="26" t="s">
        <v>6224</v>
      </c>
      <c r="H1356" s="26" t="s">
        <v>6223</v>
      </c>
      <c r="I1356" s="26" t="s">
        <v>6225</v>
      </c>
      <c r="J1356" s="26" t="s">
        <v>6224</v>
      </c>
      <c r="K1356" s="27"/>
      <c r="L1356" s="28" t="s">
        <v>6223</v>
      </c>
      <c r="M1356" s="29" t="str">
        <f t="shared" si="105"/>
        <v>✓ OK</v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3971</v>
      </c>
      <c r="C1357" s="25" t="s">
        <v>3972</v>
      </c>
      <c r="D1357" s="23" t="s">
        <v>3416</v>
      </c>
      <c r="E1357" s="46">
        <v>46125</v>
      </c>
      <c r="F1357" s="26" t="s">
        <v>6222</v>
      </c>
      <c r="G1357" s="26" t="s">
        <v>6224</v>
      </c>
      <c r="H1357" s="26" t="s">
        <v>6223</v>
      </c>
      <c r="I1357" s="26" t="s">
        <v>6225</v>
      </c>
      <c r="J1357" s="26" t="s">
        <v>6224</v>
      </c>
      <c r="K1357" s="27"/>
      <c r="L1357" s="28" t="s">
        <v>6223</v>
      </c>
      <c r="M1357" s="29" t="str">
        <f t="shared" si="105"/>
        <v>✓ OK</v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3973</v>
      </c>
      <c r="C1358" s="44" t="s">
        <v>3974</v>
      </c>
      <c r="D1358" s="42" t="s">
        <v>3416</v>
      </c>
      <c r="E1358" s="46">
        <v>46125</v>
      </c>
      <c r="F1358" s="26" t="s">
        <v>6222</v>
      </c>
      <c r="G1358" s="26" t="s">
        <v>6224</v>
      </c>
      <c r="H1358" s="26" t="s">
        <v>6223</v>
      </c>
      <c r="I1358" s="26" t="s">
        <v>6225</v>
      </c>
      <c r="J1358" s="26" t="s">
        <v>6224</v>
      </c>
      <c r="K1358" s="27"/>
      <c r="L1358" s="28" t="s">
        <v>6223</v>
      </c>
      <c r="M1358" s="29" t="str">
        <f t="shared" si="105"/>
        <v>✓ OK</v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3975</v>
      </c>
      <c r="C1359" s="25" t="s">
        <v>3976</v>
      </c>
      <c r="D1359" s="23" t="s">
        <v>3416</v>
      </c>
      <c r="E1359" s="46">
        <v>46125</v>
      </c>
      <c r="F1359" s="26" t="s">
        <v>6222</v>
      </c>
      <c r="G1359" s="26" t="s">
        <v>6224</v>
      </c>
      <c r="H1359" s="26" t="s">
        <v>6223</v>
      </c>
      <c r="I1359" s="26" t="s">
        <v>6225</v>
      </c>
      <c r="J1359" s="26" t="s">
        <v>6224</v>
      </c>
      <c r="K1359" s="27"/>
      <c r="L1359" s="28" t="s">
        <v>6223</v>
      </c>
      <c r="M1359" s="29" t="str">
        <f t="shared" si="105"/>
        <v>✓ OK</v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3977</v>
      </c>
      <c r="C1360" s="44" t="s">
        <v>3978</v>
      </c>
      <c r="D1360" s="42" t="s">
        <v>3416</v>
      </c>
      <c r="E1360" s="46">
        <v>46125</v>
      </c>
      <c r="F1360" s="26" t="s">
        <v>6222</v>
      </c>
      <c r="G1360" s="26" t="s">
        <v>6224</v>
      </c>
      <c r="H1360" s="26" t="s">
        <v>6223</v>
      </c>
      <c r="I1360" s="26" t="s">
        <v>6225</v>
      </c>
      <c r="J1360" s="26" t="s">
        <v>6224</v>
      </c>
      <c r="K1360" s="27"/>
      <c r="L1360" s="28" t="s">
        <v>6223</v>
      </c>
      <c r="M1360" s="29" t="str">
        <f t="shared" si="105"/>
        <v>✓ OK</v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3979</v>
      </c>
      <c r="C1361" s="25" t="s">
        <v>3980</v>
      </c>
      <c r="D1361" s="23" t="s">
        <v>3416</v>
      </c>
      <c r="E1361" s="46">
        <v>46125</v>
      </c>
      <c r="F1361" s="26" t="s">
        <v>6222</v>
      </c>
      <c r="G1361" s="26" t="s">
        <v>6224</v>
      </c>
      <c r="H1361" s="26" t="s">
        <v>6223</v>
      </c>
      <c r="I1361" s="26" t="s">
        <v>6225</v>
      </c>
      <c r="J1361" s="26" t="s">
        <v>6224</v>
      </c>
      <c r="K1361" s="27"/>
      <c r="L1361" s="28" t="s">
        <v>6223</v>
      </c>
      <c r="M1361" s="29" t="str">
        <f t="shared" si="105"/>
        <v>✓ OK</v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3981</v>
      </c>
      <c r="C1362" s="44" t="s">
        <v>3982</v>
      </c>
      <c r="D1362" s="42" t="s">
        <v>3416</v>
      </c>
      <c r="E1362" s="46">
        <v>46125</v>
      </c>
      <c r="F1362" s="26" t="s">
        <v>6222</v>
      </c>
      <c r="G1362" s="26" t="s">
        <v>6224</v>
      </c>
      <c r="H1362" s="26" t="s">
        <v>6223</v>
      </c>
      <c r="I1362" s="26" t="s">
        <v>6225</v>
      </c>
      <c r="J1362" s="26" t="s">
        <v>6224</v>
      </c>
      <c r="K1362" s="27"/>
      <c r="L1362" s="28" t="s">
        <v>6223</v>
      </c>
      <c r="M1362" s="29" t="str">
        <f t="shared" si="105"/>
        <v>✓ OK</v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3983</v>
      </c>
      <c r="C1363" s="25" t="s">
        <v>3984</v>
      </c>
      <c r="D1363" s="23" t="s">
        <v>3416</v>
      </c>
      <c r="E1363" s="46">
        <v>46125</v>
      </c>
      <c r="F1363" s="26" t="s">
        <v>6222</v>
      </c>
      <c r="G1363" s="26" t="s">
        <v>6224</v>
      </c>
      <c r="H1363" s="26" t="s">
        <v>6223</v>
      </c>
      <c r="I1363" s="26" t="s">
        <v>6225</v>
      </c>
      <c r="J1363" s="26" t="s">
        <v>6224</v>
      </c>
      <c r="K1363" s="27"/>
      <c r="L1363" s="28" t="s">
        <v>6223</v>
      </c>
      <c r="M1363" s="29" t="str">
        <f t="shared" si="105"/>
        <v>✓ OK</v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3985</v>
      </c>
      <c r="C1364" s="44" t="s">
        <v>3986</v>
      </c>
      <c r="D1364" s="42" t="s">
        <v>3416</v>
      </c>
      <c r="E1364" s="46">
        <v>46125</v>
      </c>
      <c r="F1364" s="26" t="s">
        <v>6222</v>
      </c>
      <c r="G1364" s="26" t="s">
        <v>6224</v>
      </c>
      <c r="H1364" s="26" t="s">
        <v>6223</v>
      </c>
      <c r="I1364" s="26" t="s">
        <v>6225</v>
      </c>
      <c r="J1364" s="26" t="s">
        <v>6224</v>
      </c>
      <c r="K1364" s="27"/>
      <c r="L1364" s="28" t="s">
        <v>6223</v>
      </c>
      <c r="M1364" s="29" t="str">
        <f t="shared" si="105"/>
        <v>✓ OK</v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3987</v>
      </c>
      <c r="C1365" s="25" t="s">
        <v>3988</v>
      </c>
      <c r="D1365" s="23" t="s">
        <v>3416</v>
      </c>
      <c r="E1365" s="46">
        <v>46125</v>
      </c>
      <c r="F1365" s="26" t="s">
        <v>6222</v>
      </c>
      <c r="G1365" s="26" t="s">
        <v>6224</v>
      </c>
      <c r="H1365" s="26" t="s">
        <v>6223</v>
      </c>
      <c r="I1365" s="26" t="s">
        <v>6225</v>
      </c>
      <c r="J1365" s="26" t="s">
        <v>6224</v>
      </c>
      <c r="K1365" s="27"/>
      <c r="L1365" s="28" t="s">
        <v>6223</v>
      </c>
      <c r="M1365" s="29" t="str">
        <f t="shared" si="105"/>
        <v>✓ OK</v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3989</v>
      </c>
      <c r="C1366" s="44" t="s">
        <v>3990</v>
      </c>
      <c r="D1366" s="42" t="s">
        <v>3416</v>
      </c>
      <c r="E1366" s="46">
        <v>46125</v>
      </c>
      <c r="F1366" s="26" t="s">
        <v>6222</v>
      </c>
      <c r="G1366" s="26" t="s">
        <v>6224</v>
      </c>
      <c r="H1366" s="26" t="s">
        <v>6223</v>
      </c>
      <c r="I1366" s="26" t="s">
        <v>6225</v>
      </c>
      <c r="J1366" s="26" t="s">
        <v>6224</v>
      </c>
      <c r="K1366" s="27"/>
      <c r="L1366" s="28" t="s">
        <v>6223</v>
      </c>
      <c r="M1366" s="29" t="str">
        <f t="shared" si="105"/>
        <v>✓ OK</v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3991</v>
      </c>
      <c r="C1367" s="25" t="s">
        <v>3992</v>
      </c>
      <c r="D1367" s="23" t="s">
        <v>3416</v>
      </c>
      <c r="E1367" s="46">
        <v>46125</v>
      </c>
      <c r="F1367" s="26" t="s">
        <v>6222</v>
      </c>
      <c r="G1367" s="26" t="s">
        <v>6224</v>
      </c>
      <c r="H1367" s="26" t="s">
        <v>6223</v>
      </c>
      <c r="I1367" s="26" t="s">
        <v>6225</v>
      </c>
      <c r="J1367" s="26" t="s">
        <v>6224</v>
      </c>
      <c r="K1367" s="27"/>
      <c r="L1367" s="28" t="s">
        <v>6223</v>
      </c>
      <c r="M1367" s="29" t="str">
        <f t="shared" si="105"/>
        <v>✓ OK</v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3993</v>
      </c>
      <c r="C1368" s="44" t="s">
        <v>3994</v>
      </c>
      <c r="D1368" s="42" t="s">
        <v>3416</v>
      </c>
      <c r="E1368" s="46">
        <v>46125</v>
      </c>
      <c r="F1368" s="26" t="s">
        <v>6222</v>
      </c>
      <c r="G1368" s="26" t="s">
        <v>6224</v>
      </c>
      <c r="H1368" s="26" t="s">
        <v>6223</v>
      </c>
      <c r="I1368" s="26" t="s">
        <v>6225</v>
      </c>
      <c r="J1368" s="26" t="s">
        <v>6224</v>
      </c>
      <c r="K1368" s="27"/>
      <c r="L1368" s="28" t="s">
        <v>6223</v>
      </c>
      <c r="M1368" s="29" t="str">
        <f t="shared" si="105"/>
        <v>✓ OK</v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3995</v>
      </c>
      <c r="C1369" s="25" t="s">
        <v>3996</v>
      </c>
      <c r="D1369" s="23" t="s">
        <v>3416</v>
      </c>
      <c r="E1369" s="46">
        <v>46125</v>
      </c>
      <c r="F1369" s="26" t="s">
        <v>6222</v>
      </c>
      <c r="G1369" s="26" t="s">
        <v>6224</v>
      </c>
      <c r="H1369" s="26" t="s">
        <v>6223</v>
      </c>
      <c r="I1369" s="26" t="s">
        <v>6225</v>
      </c>
      <c r="J1369" s="26" t="s">
        <v>6224</v>
      </c>
      <c r="K1369" s="27"/>
      <c r="L1369" s="28" t="s">
        <v>6223</v>
      </c>
      <c r="M1369" s="29" t="str">
        <f t="shared" si="105"/>
        <v>✓ OK</v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3997</v>
      </c>
      <c r="C1370" s="44" t="s">
        <v>3998</v>
      </c>
      <c r="D1370" s="42" t="s">
        <v>3416</v>
      </c>
      <c r="E1370" s="46">
        <v>46125</v>
      </c>
      <c r="F1370" s="26" t="s">
        <v>6222</v>
      </c>
      <c r="G1370" s="26" t="s">
        <v>6224</v>
      </c>
      <c r="H1370" s="26" t="s">
        <v>6223</v>
      </c>
      <c r="I1370" s="26" t="s">
        <v>6225</v>
      </c>
      <c r="J1370" s="26" t="s">
        <v>6224</v>
      </c>
      <c r="K1370" s="27"/>
      <c r="L1370" s="28" t="s">
        <v>6223</v>
      </c>
      <c r="M1370" s="29" t="str">
        <f t="shared" si="105"/>
        <v>✓ OK</v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3999</v>
      </c>
      <c r="C1371" s="25" t="s">
        <v>4000</v>
      </c>
      <c r="D1371" s="23" t="s">
        <v>3416</v>
      </c>
      <c r="E1371" s="46">
        <v>46125</v>
      </c>
      <c r="F1371" s="26" t="s">
        <v>6222</v>
      </c>
      <c r="G1371" s="26" t="s">
        <v>6224</v>
      </c>
      <c r="H1371" s="26" t="s">
        <v>6223</v>
      </c>
      <c r="I1371" s="26" t="s">
        <v>6225</v>
      </c>
      <c r="J1371" s="26" t="s">
        <v>6224</v>
      </c>
      <c r="K1371" s="27"/>
      <c r="L1371" s="28" t="s">
        <v>6223</v>
      </c>
      <c r="M1371" s="29" t="str">
        <f t="shared" si="105"/>
        <v>✓ OK</v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4001</v>
      </c>
      <c r="C1372" s="44" t="s">
        <v>4002</v>
      </c>
      <c r="D1372" s="42" t="s">
        <v>3416</v>
      </c>
      <c r="E1372" s="46">
        <v>46125</v>
      </c>
      <c r="F1372" s="26" t="s">
        <v>6222</v>
      </c>
      <c r="G1372" s="26" t="s">
        <v>6224</v>
      </c>
      <c r="H1372" s="26" t="s">
        <v>6223</v>
      </c>
      <c r="I1372" s="26" t="s">
        <v>6225</v>
      </c>
      <c r="J1372" s="26" t="s">
        <v>6224</v>
      </c>
      <c r="K1372" s="27"/>
      <c r="L1372" s="28" t="s">
        <v>6223</v>
      </c>
      <c r="M1372" s="29" t="str">
        <f t="shared" si="105"/>
        <v>✓ OK</v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4003</v>
      </c>
      <c r="C1373" s="25" t="s">
        <v>4004</v>
      </c>
      <c r="D1373" s="23" t="s">
        <v>3416</v>
      </c>
      <c r="E1373" s="46">
        <v>46125</v>
      </c>
      <c r="F1373" s="26" t="s">
        <v>6222</v>
      </c>
      <c r="G1373" s="26" t="s">
        <v>6224</v>
      </c>
      <c r="H1373" s="26" t="s">
        <v>6223</v>
      </c>
      <c r="I1373" s="26" t="s">
        <v>6225</v>
      </c>
      <c r="J1373" s="26" t="s">
        <v>6224</v>
      </c>
      <c r="K1373" s="27"/>
      <c r="L1373" s="28" t="s">
        <v>6223</v>
      </c>
      <c r="M1373" s="29" t="str">
        <f t="shared" si="105"/>
        <v>✓ OK</v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4005</v>
      </c>
      <c r="C1374" s="44" t="s">
        <v>4006</v>
      </c>
      <c r="D1374" s="42" t="s">
        <v>3416</v>
      </c>
      <c r="E1374" s="46">
        <v>46125</v>
      </c>
      <c r="F1374" s="26" t="s">
        <v>6222</v>
      </c>
      <c r="G1374" s="26" t="s">
        <v>6224</v>
      </c>
      <c r="H1374" s="26" t="s">
        <v>6223</v>
      </c>
      <c r="I1374" s="26" t="s">
        <v>6225</v>
      </c>
      <c r="J1374" s="26" t="s">
        <v>6224</v>
      </c>
      <c r="K1374" s="27"/>
      <c r="L1374" s="28" t="s">
        <v>6223</v>
      </c>
      <c r="M1374" s="29" t="str">
        <f t="shared" si="105"/>
        <v>✓ OK</v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4007</v>
      </c>
      <c r="C1375" s="25" t="s">
        <v>4008</v>
      </c>
      <c r="D1375" s="23" t="s">
        <v>3416</v>
      </c>
      <c r="E1375" s="46">
        <v>46125</v>
      </c>
      <c r="F1375" s="26" t="s">
        <v>6222</v>
      </c>
      <c r="G1375" s="26" t="s">
        <v>6224</v>
      </c>
      <c r="H1375" s="26" t="s">
        <v>6223</v>
      </c>
      <c r="I1375" s="26" t="s">
        <v>6225</v>
      </c>
      <c r="J1375" s="26" t="s">
        <v>6224</v>
      </c>
      <c r="K1375" s="27"/>
      <c r="L1375" s="28" t="s">
        <v>6223</v>
      </c>
      <c r="M1375" s="29" t="str">
        <f t="shared" si="105"/>
        <v>✓ OK</v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4009</v>
      </c>
      <c r="C1376" s="44" t="s">
        <v>4010</v>
      </c>
      <c r="D1376" s="42" t="s">
        <v>3416</v>
      </c>
      <c r="E1376" s="46">
        <v>46125</v>
      </c>
      <c r="F1376" s="26" t="s">
        <v>6222</v>
      </c>
      <c r="G1376" s="26" t="s">
        <v>6224</v>
      </c>
      <c r="H1376" s="26" t="s">
        <v>6223</v>
      </c>
      <c r="I1376" s="26" t="s">
        <v>6225</v>
      </c>
      <c r="J1376" s="26" t="s">
        <v>6224</v>
      </c>
      <c r="K1376" s="27"/>
      <c r="L1376" s="28" t="s">
        <v>6223</v>
      </c>
      <c r="M1376" s="29" t="str">
        <f t="shared" si="105"/>
        <v>✓ OK</v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4011</v>
      </c>
      <c r="C1377" s="25" t="s">
        <v>4012</v>
      </c>
      <c r="D1377" s="23" t="s">
        <v>3416</v>
      </c>
      <c r="E1377" s="46">
        <v>46125</v>
      </c>
      <c r="F1377" s="26" t="s">
        <v>6222</v>
      </c>
      <c r="G1377" s="26" t="s">
        <v>6224</v>
      </c>
      <c r="H1377" s="26" t="s">
        <v>6223</v>
      </c>
      <c r="I1377" s="26" t="s">
        <v>6225</v>
      </c>
      <c r="J1377" s="26" t="s">
        <v>6224</v>
      </c>
      <c r="K1377" s="27"/>
      <c r="L1377" s="28" t="s">
        <v>6223</v>
      </c>
      <c r="M1377" s="29" t="str">
        <f t="shared" si="105"/>
        <v>✓ OK</v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4013</v>
      </c>
      <c r="C1378" s="44" t="s">
        <v>4014</v>
      </c>
      <c r="D1378" s="42" t="s">
        <v>3416</v>
      </c>
      <c r="E1378" s="46">
        <v>46125</v>
      </c>
      <c r="F1378" s="26" t="s">
        <v>6222</v>
      </c>
      <c r="G1378" s="26" t="s">
        <v>6224</v>
      </c>
      <c r="H1378" s="26" t="s">
        <v>6223</v>
      </c>
      <c r="I1378" s="26" t="s">
        <v>6225</v>
      </c>
      <c r="J1378" s="26" t="s">
        <v>6224</v>
      </c>
      <c r="K1378" s="27"/>
      <c r="L1378" s="28" t="s">
        <v>6223</v>
      </c>
      <c r="M1378" s="29" t="str">
        <f t="shared" si="105"/>
        <v>✓ OK</v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4015</v>
      </c>
      <c r="C1379" s="25" t="s">
        <v>4016</v>
      </c>
      <c r="D1379" s="23" t="s">
        <v>3416</v>
      </c>
      <c r="E1379" s="46">
        <v>46125</v>
      </c>
      <c r="F1379" s="26" t="s">
        <v>6222</v>
      </c>
      <c r="G1379" s="26" t="s">
        <v>6224</v>
      </c>
      <c r="H1379" s="26" t="s">
        <v>6223</v>
      </c>
      <c r="I1379" s="26" t="s">
        <v>6225</v>
      </c>
      <c r="J1379" s="26" t="s">
        <v>6224</v>
      </c>
      <c r="K1379" s="27"/>
      <c r="L1379" s="28" t="s">
        <v>6223</v>
      </c>
      <c r="M1379" s="29" t="str">
        <f t="shared" si="105"/>
        <v>✓ OK</v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4017</v>
      </c>
      <c r="C1380" s="44" t="s">
        <v>4018</v>
      </c>
      <c r="D1380" s="42" t="s">
        <v>3416</v>
      </c>
      <c r="E1380" s="46">
        <v>46125</v>
      </c>
      <c r="F1380" s="26" t="s">
        <v>6222</v>
      </c>
      <c r="G1380" s="26" t="s">
        <v>6224</v>
      </c>
      <c r="H1380" s="26" t="s">
        <v>6223</v>
      </c>
      <c r="I1380" s="26" t="s">
        <v>6225</v>
      </c>
      <c r="J1380" s="26" t="s">
        <v>6224</v>
      </c>
      <c r="K1380" s="27"/>
      <c r="L1380" s="28" t="s">
        <v>6223</v>
      </c>
      <c r="M1380" s="29" t="str">
        <f t="shared" si="105"/>
        <v>✓ OK</v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4019</v>
      </c>
      <c r="C1381" s="25" t="s">
        <v>4020</v>
      </c>
      <c r="D1381" s="23" t="s">
        <v>3416</v>
      </c>
      <c r="E1381" s="46">
        <v>46125</v>
      </c>
      <c r="F1381" s="26" t="s">
        <v>6222</v>
      </c>
      <c r="G1381" s="26" t="s">
        <v>6224</v>
      </c>
      <c r="H1381" s="26" t="s">
        <v>6223</v>
      </c>
      <c r="I1381" s="26" t="s">
        <v>6225</v>
      </c>
      <c r="J1381" s="26" t="s">
        <v>6224</v>
      </c>
      <c r="K1381" s="27"/>
      <c r="L1381" s="28" t="s">
        <v>6223</v>
      </c>
      <c r="M1381" s="29" t="str">
        <f t="shared" si="105"/>
        <v>✓ OK</v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4021</v>
      </c>
      <c r="C1382" s="44" t="s">
        <v>4022</v>
      </c>
      <c r="D1382" s="42" t="s">
        <v>3416</v>
      </c>
      <c r="E1382" s="46">
        <v>46125</v>
      </c>
      <c r="F1382" s="26" t="s">
        <v>6222</v>
      </c>
      <c r="G1382" s="26" t="s">
        <v>6224</v>
      </c>
      <c r="H1382" s="26" t="s">
        <v>6223</v>
      </c>
      <c r="I1382" s="26" t="s">
        <v>6225</v>
      </c>
      <c r="J1382" s="26" t="s">
        <v>6224</v>
      </c>
      <c r="K1382" s="27"/>
      <c r="L1382" s="28" t="s">
        <v>6223</v>
      </c>
      <c r="M1382" s="29" t="str">
        <f t="shared" si="105"/>
        <v>✓ OK</v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4023</v>
      </c>
      <c r="C1383" s="25" t="s">
        <v>4024</v>
      </c>
      <c r="D1383" s="23" t="s">
        <v>3416</v>
      </c>
      <c r="E1383" s="46">
        <v>46125</v>
      </c>
      <c r="F1383" s="26" t="s">
        <v>6222</v>
      </c>
      <c r="G1383" s="26" t="s">
        <v>6224</v>
      </c>
      <c r="H1383" s="26" t="s">
        <v>6223</v>
      </c>
      <c r="I1383" s="26" t="s">
        <v>6225</v>
      </c>
      <c r="J1383" s="26" t="s">
        <v>6224</v>
      </c>
      <c r="K1383" s="27"/>
      <c r="L1383" s="28" t="s">
        <v>6223</v>
      </c>
      <c r="M1383" s="29" t="str">
        <f t="shared" si="105"/>
        <v>✓ OK</v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4025</v>
      </c>
      <c r="C1384" s="44" t="s">
        <v>4026</v>
      </c>
      <c r="D1384" s="42" t="s">
        <v>3416</v>
      </c>
      <c r="E1384" s="46">
        <v>46125</v>
      </c>
      <c r="F1384" s="26" t="s">
        <v>6222</v>
      </c>
      <c r="G1384" s="26" t="s">
        <v>6224</v>
      </c>
      <c r="H1384" s="26" t="s">
        <v>6223</v>
      </c>
      <c r="I1384" s="26" t="s">
        <v>6225</v>
      </c>
      <c r="J1384" s="26" t="s">
        <v>6224</v>
      </c>
      <c r="K1384" s="27"/>
      <c r="L1384" s="28" t="s">
        <v>6223</v>
      </c>
      <c r="M1384" s="29" t="str">
        <f t="shared" si="105"/>
        <v>✓ OK</v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4027</v>
      </c>
      <c r="C1385" s="25" t="s">
        <v>4028</v>
      </c>
      <c r="D1385" s="23" t="s">
        <v>3416</v>
      </c>
      <c r="E1385" s="46">
        <v>46125</v>
      </c>
      <c r="F1385" s="26" t="s">
        <v>6222</v>
      </c>
      <c r="G1385" s="26" t="s">
        <v>6224</v>
      </c>
      <c r="H1385" s="26" t="s">
        <v>6223</v>
      </c>
      <c r="I1385" s="26" t="s">
        <v>6225</v>
      </c>
      <c r="J1385" s="26" t="s">
        <v>6224</v>
      </c>
      <c r="K1385" s="27"/>
      <c r="L1385" s="28" t="s">
        <v>6223</v>
      </c>
      <c r="M1385" s="29" t="str">
        <f t="shared" si="105"/>
        <v>✓ OK</v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4029</v>
      </c>
      <c r="C1386" s="44" t="s">
        <v>4030</v>
      </c>
      <c r="D1386" s="42" t="s">
        <v>3416</v>
      </c>
      <c r="E1386" s="46">
        <v>46125</v>
      </c>
      <c r="F1386" s="26" t="s">
        <v>6222</v>
      </c>
      <c r="G1386" s="26" t="s">
        <v>6224</v>
      </c>
      <c r="H1386" s="26" t="s">
        <v>6223</v>
      </c>
      <c r="I1386" s="26" t="s">
        <v>6225</v>
      </c>
      <c r="J1386" s="26" t="s">
        <v>6224</v>
      </c>
      <c r="K1386" s="27"/>
      <c r="L1386" s="28" t="s">
        <v>6223</v>
      </c>
      <c r="M1386" s="29" t="str">
        <f t="shared" si="105"/>
        <v>✓ OK</v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4031</v>
      </c>
      <c r="C1387" s="25" t="s">
        <v>4032</v>
      </c>
      <c r="D1387" s="23" t="s">
        <v>3416</v>
      </c>
      <c r="E1387" s="46">
        <v>46125</v>
      </c>
      <c r="F1387" s="26" t="s">
        <v>6222</v>
      </c>
      <c r="G1387" s="26" t="s">
        <v>6224</v>
      </c>
      <c r="H1387" s="26" t="s">
        <v>6223</v>
      </c>
      <c r="I1387" s="26" t="s">
        <v>6225</v>
      </c>
      <c r="J1387" s="26" t="s">
        <v>6224</v>
      </c>
      <c r="K1387" s="27"/>
      <c r="L1387" s="28" t="s">
        <v>6223</v>
      </c>
      <c r="M1387" s="29" t="str">
        <f t="shared" si="105"/>
        <v>✓ OK</v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4033</v>
      </c>
      <c r="C1388" s="44" t="s">
        <v>4034</v>
      </c>
      <c r="D1388" s="42" t="s">
        <v>3416</v>
      </c>
      <c r="E1388" s="46">
        <v>46125</v>
      </c>
      <c r="F1388" s="26" t="s">
        <v>6222</v>
      </c>
      <c r="G1388" s="26" t="s">
        <v>6224</v>
      </c>
      <c r="H1388" s="26" t="s">
        <v>6223</v>
      </c>
      <c r="I1388" s="26" t="s">
        <v>6225</v>
      </c>
      <c r="J1388" s="26" t="s">
        <v>6224</v>
      </c>
      <c r="K1388" s="27"/>
      <c r="L1388" s="28" t="s">
        <v>6223</v>
      </c>
      <c r="M1388" s="29" t="str">
        <f t="shared" si="105"/>
        <v>✓ OK</v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4035</v>
      </c>
      <c r="C1389" s="25" t="s">
        <v>4036</v>
      </c>
      <c r="D1389" s="23" t="s">
        <v>3416</v>
      </c>
      <c r="E1389" s="46">
        <v>46125</v>
      </c>
      <c r="F1389" s="26" t="s">
        <v>6222</v>
      </c>
      <c r="G1389" s="26" t="s">
        <v>6224</v>
      </c>
      <c r="H1389" s="26" t="s">
        <v>6223</v>
      </c>
      <c r="I1389" s="26" t="s">
        <v>6225</v>
      </c>
      <c r="J1389" s="26" t="s">
        <v>6224</v>
      </c>
      <c r="K1389" s="27"/>
      <c r="L1389" s="28" t="s">
        <v>6223</v>
      </c>
      <c r="M1389" s="29" t="str">
        <f t="shared" si="105"/>
        <v>✓ OK</v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4037</v>
      </c>
      <c r="C1390" s="44" t="s">
        <v>4038</v>
      </c>
      <c r="D1390" s="42" t="s">
        <v>3416</v>
      </c>
      <c r="E1390" s="46">
        <v>46125</v>
      </c>
      <c r="F1390" s="26" t="s">
        <v>6222</v>
      </c>
      <c r="G1390" s="26" t="s">
        <v>6224</v>
      </c>
      <c r="H1390" s="26" t="s">
        <v>6223</v>
      </c>
      <c r="I1390" s="26" t="s">
        <v>6225</v>
      </c>
      <c r="J1390" s="26" t="s">
        <v>6224</v>
      </c>
      <c r="K1390" s="27"/>
      <c r="L1390" s="28" t="s">
        <v>6223</v>
      </c>
      <c r="M1390" s="29" t="str">
        <f t="shared" si="105"/>
        <v>✓ OK</v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4039</v>
      </c>
      <c r="C1391" s="25" t="s">
        <v>4040</v>
      </c>
      <c r="D1391" s="23" t="s">
        <v>3416</v>
      </c>
      <c r="E1391" s="46">
        <v>46125</v>
      </c>
      <c r="F1391" s="26" t="s">
        <v>6222</v>
      </c>
      <c r="G1391" s="26" t="s">
        <v>6224</v>
      </c>
      <c r="H1391" s="26" t="s">
        <v>6223</v>
      </c>
      <c r="I1391" s="26" t="s">
        <v>6225</v>
      </c>
      <c r="J1391" s="26" t="s">
        <v>6224</v>
      </c>
      <c r="K1391" s="27"/>
      <c r="L1391" s="28" t="s">
        <v>6223</v>
      </c>
      <c r="M1391" s="29" t="str">
        <f t="shared" si="105"/>
        <v>✓ OK</v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4041</v>
      </c>
      <c r="C1392" s="44" t="s">
        <v>4042</v>
      </c>
      <c r="D1392" s="42" t="s">
        <v>3416</v>
      </c>
      <c r="E1392" s="46">
        <v>46125</v>
      </c>
      <c r="F1392" s="26" t="s">
        <v>6222</v>
      </c>
      <c r="G1392" s="26" t="s">
        <v>6224</v>
      </c>
      <c r="H1392" s="26" t="s">
        <v>6223</v>
      </c>
      <c r="I1392" s="26" t="s">
        <v>6225</v>
      </c>
      <c r="J1392" s="26" t="s">
        <v>6224</v>
      </c>
      <c r="K1392" s="27"/>
      <c r="L1392" s="28" t="s">
        <v>6223</v>
      </c>
      <c r="M1392" s="29" t="str">
        <f t="shared" si="105"/>
        <v>✓ OK</v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4043</v>
      </c>
      <c r="C1393" s="25" t="s">
        <v>4044</v>
      </c>
      <c r="D1393" s="23" t="s">
        <v>3416</v>
      </c>
      <c r="E1393" s="46">
        <v>46125</v>
      </c>
      <c r="F1393" s="26" t="s">
        <v>6222</v>
      </c>
      <c r="G1393" s="26" t="s">
        <v>6224</v>
      </c>
      <c r="H1393" s="26" t="s">
        <v>6223</v>
      </c>
      <c r="I1393" s="26" t="s">
        <v>6225</v>
      </c>
      <c r="J1393" s="26" t="s">
        <v>6224</v>
      </c>
      <c r="K1393" s="27"/>
      <c r="L1393" s="28" t="s">
        <v>6223</v>
      </c>
      <c r="M1393" s="29" t="str">
        <f t="shared" si="105"/>
        <v>✓ OK</v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4045</v>
      </c>
      <c r="C1394" s="44" t="s">
        <v>4046</v>
      </c>
      <c r="D1394" s="42" t="s">
        <v>3416</v>
      </c>
      <c r="E1394" s="46">
        <v>46125</v>
      </c>
      <c r="F1394" s="26" t="s">
        <v>6222</v>
      </c>
      <c r="G1394" s="26" t="s">
        <v>6224</v>
      </c>
      <c r="H1394" s="26" t="s">
        <v>6223</v>
      </c>
      <c r="I1394" s="26" t="s">
        <v>6225</v>
      </c>
      <c r="J1394" s="26" t="s">
        <v>6224</v>
      </c>
      <c r="K1394" s="27"/>
      <c r="L1394" s="28" t="s">
        <v>6223</v>
      </c>
      <c r="M1394" s="29" t="str">
        <f t="shared" si="105"/>
        <v>✓ OK</v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4047</v>
      </c>
      <c r="C1395" s="25" t="s">
        <v>4048</v>
      </c>
      <c r="D1395" s="23" t="s">
        <v>3416</v>
      </c>
      <c r="E1395" s="46">
        <v>46125</v>
      </c>
      <c r="F1395" s="26" t="s">
        <v>6222</v>
      </c>
      <c r="G1395" s="26" t="s">
        <v>6224</v>
      </c>
      <c r="H1395" s="26" t="s">
        <v>6223</v>
      </c>
      <c r="I1395" s="26" t="s">
        <v>6225</v>
      </c>
      <c r="J1395" s="26" t="s">
        <v>6224</v>
      </c>
      <c r="K1395" s="27"/>
      <c r="L1395" s="28" t="s">
        <v>6223</v>
      </c>
      <c r="M1395" s="29" t="str">
        <f t="shared" si="105"/>
        <v>✓ OK</v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4049</v>
      </c>
      <c r="C1396" s="44" t="s">
        <v>4050</v>
      </c>
      <c r="D1396" s="42" t="s">
        <v>3416</v>
      </c>
      <c r="E1396" s="46">
        <v>46125</v>
      </c>
      <c r="F1396" s="26" t="s">
        <v>6222</v>
      </c>
      <c r="G1396" s="26" t="s">
        <v>6224</v>
      </c>
      <c r="H1396" s="26" t="s">
        <v>6223</v>
      </c>
      <c r="I1396" s="26" t="s">
        <v>6225</v>
      </c>
      <c r="J1396" s="26" t="s">
        <v>6224</v>
      </c>
      <c r="K1396" s="27"/>
      <c r="L1396" s="28" t="s">
        <v>6223</v>
      </c>
      <c r="M1396" s="29" t="str">
        <f t="shared" si="105"/>
        <v>✓ OK</v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4051</v>
      </c>
      <c r="C1397" s="25" t="s">
        <v>4052</v>
      </c>
      <c r="D1397" s="23" t="s">
        <v>3416</v>
      </c>
      <c r="E1397" s="46">
        <v>46125</v>
      </c>
      <c r="F1397" s="26" t="s">
        <v>6222</v>
      </c>
      <c r="G1397" s="26" t="s">
        <v>6224</v>
      </c>
      <c r="H1397" s="26" t="s">
        <v>6223</v>
      </c>
      <c r="I1397" s="26" t="s">
        <v>6225</v>
      </c>
      <c r="J1397" s="26" t="s">
        <v>6224</v>
      </c>
      <c r="K1397" s="27"/>
      <c r="L1397" s="28" t="s">
        <v>6223</v>
      </c>
      <c r="M1397" s="29" t="str">
        <f t="shared" si="105"/>
        <v>✓ OK</v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4053</v>
      </c>
      <c r="C1398" s="44" t="s">
        <v>4054</v>
      </c>
      <c r="D1398" s="42" t="s">
        <v>3416</v>
      </c>
      <c r="E1398" s="46">
        <v>46125</v>
      </c>
      <c r="F1398" s="26" t="s">
        <v>6222</v>
      </c>
      <c r="G1398" s="26" t="s">
        <v>6224</v>
      </c>
      <c r="H1398" s="26" t="s">
        <v>6223</v>
      </c>
      <c r="I1398" s="26" t="s">
        <v>6225</v>
      </c>
      <c r="J1398" s="26" t="s">
        <v>6224</v>
      </c>
      <c r="K1398" s="27"/>
      <c r="L1398" s="28" t="s">
        <v>6223</v>
      </c>
      <c r="M1398" s="29" t="str">
        <f t="shared" si="105"/>
        <v>✓ OK</v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4055</v>
      </c>
      <c r="C1399" s="25" t="s">
        <v>4056</v>
      </c>
      <c r="D1399" s="23" t="s">
        <v>3416</v>
      </c>
      <c r="E1399" s="46">
        <v>46125</v>
      </c>
      <c r="F1399" s="26" t="s">
        <v>6222</v>
      </c>
      <c r="G1399" s="26" t="s">
        <v>6224</v>
      </c>
      <c r="H1399" s="26" t="s">
        <v>6223</v>
      </c>
      <c r="I1399" s="26" t="s">
        <v>6225</v>
      </c>
      <c r="J1399" s="26" t="s">
        <v>6224</v>
      </c>
      <c r="K1399" s="27"/>
      <c r="L1399" s="28" t="s">
        <v>6223</v>
      </c>
      <c r="M1399" s="29" t="str">
        <f t="shared" si="105"/>
        <v>✓ OK</v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4057</v>
      </c>
      <c r="C1400" s="44" t="s">
        <v>4058</v>
      </c>
      <c r="D1400" s="42" t="s">
        <v>3416</v>
      </c>
      <c r="E1400" s="46">
        <v>46125</v>
      </c>
      <c r="F1400" s="26" t="s">
        <v>6222</v>
      </c>
      <c r="G1400" s="26" t="s">
        <v>6224</v>
      </c>
      <c r="H1400" s="26" t="s">
        <v>6223</v>
      </c>
      <c r="I1400" s="26" t="s">
        <v>6225</v>
      </c>
      <c r="J1400" s="26" t="s">
        <v>6224</v>
      </c>
      <c r="K1400" s="27"/>
      <c r="L1400" s="28" t="s">
        <v>6223</v>
      </c>
      <c r="M1400" s="29" t="str">
        <f t="shared" si="105"/>
        <v>✓ OK</v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4059</v>
      </c>
      <c r="C1401" s="25" t="s">
        <v>4060</v>
      </c>
      <c r="D1401" s="23" t="s">
        <v>3416</v>
      </c>
      <c r="E1401" s="46">
        <v>46125</v>
      </c>
      <c r="F1401" s="26" t="s">
        <v>6222</v>
      </c>
      <c r="G1401" s="26" t="s">
        <v>6224</v>
      </c>
      <c r="H1401" s="26" t="s">
        <v>6223</v>
      </c>
      <c r="I1401" s="26" t="s">
        <v>6225</v>
      </c>
      <c r="J1401" s="26" t="s">
        <v>6224</v>
      </c>
      <c r="K1401" s="27"/>
      <c r="L1401" s="28" t="s">
        <v>6223</v>
      </c>
      <c r="M1401" s="29" t="str">
        <f t="shared" si="105"/>
        <v>✓ OK</v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4061</v>
      </c>
      <c r="C1402" s="44" t="s">
        <v>4062</v>
      </c>
      <c r="D1402" s="42" t="s">
        <v>3416</v>
      </c>
      <c r="E1402" s="46">
        <v>46125</v>
      </c>
      <c r="F1402" s="26" t="s">
        <v>6222</v>
      </c>
      <c r="G1402" s="26" t="s">
        <v>6224</v>
      </c>
      <c r="H1402" s="26" t="s">
        <v>6223</v>
      </c>
      <c r="I1402" s="26" t="s">
        <v>6225</v>
      </c>
      <c r="J1402" s="26" t="s">
        <v>6224</v>
      </c>
      <c r="K1402" s="27"/>
      <c r="L1402" s="28" t="s">
        <v>6223</v>
      </c>
      <c r="M1402" s="29" t="str">
        <f t="shared" si="105"/>
        <v>✓ OK</v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4063</v>
      </c>
      <c r="C1403" s="25" t="s">
        <v>4064</v>
      </c>
      <c r="D1403" s="23" t="s">
        <v>3416</v>
      </c>
      <c r="E1403" s="46">
        <v>46125</v>
      </c>
      <c r="F1403" s="26" t="s">
        <v>6222</v>
      </c>
      <c r="G1403" s="26" t="s">
        <v>6224</v>
      </c>
      <c r="H1403" s="26" t="s">
        <v>6223</v>
      </c>
      <c r="I1403" s="26" t="s">
        <v>6225</v>
      </c>
      <c r="J1403" s="26" t="s">
        <v>6224</v>
      </c>
      <c r="K1403" s="27"/>
      <c r="L1403" s="28" t="s">
        <v>6223</v>
      </c>
      <c r="M1403" s="29" t="str">
        <f t="shared" si="105"/>
        <v>✓ OK</v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4065</v>
      </c>
      <c r="C1404" s="44" t="s">
        <v>4066</v>
      </c>
      <c r="D1404" s="42" t="s">
        <v>3416</v>
      </c>
      <c r="E1404" s="46">
        <v>46125</v>
      </c>
      <c r="F1404" s="26" t="s">
        <v>6222</v>
      </c>
      <c r="G1404" s="26" t="s">
        <v>6224</v>
      </c>
      <c r="H1404" s="26" t="s">
        <v>6223</v>
      </c>
      <c r="I1404" s="26" t="s">
        <v>6225</v>
      </c>
      <c r="J1404" s="26" t="s">
        <v>6224</v>
      </c>
      <c r="K1404" s="27"/>
      <c r="L1404" s="28" t="s">
        <v>6223</v>
      </c>
      <c r="M1404" s="29" t="str">
        <f t="shared" si="105"/>
        <v>✓ OK</v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4067</v>
      </c>
      <c r="C1405" s="25" t="s">
        <v>4068</v>
      </c>
      <c r="D1405" s="23" t="s">
        <v>3416</v>
      </c>
      <c r="E1405" s="46">
        <v>46125</v>
      </c>
      <c r="F1405" s="26" t="s">
        <v>6222</v>
      </c>
      <c r="G1405" s="26" t="s">
        <v>6224</v>
      </c>
      <c r="H1405" s="26" t="s">
        <v>6223</v>
      </c>
      <c r="I1405" s="26" t="s">
        <v>6225</v>
      </c>
      <c r="J1405" s="26" t="s">
        <v>6224</v>
      </c>
      <c r="K1405" s="27"/>
      <c r="L1405" s="28" t="s">
        <v>6223</v>
      </c>
      <c r="M1405" s="29" t="str">
        <f t="shared" si="105"/>
        <v>✓ OK</v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4069</v>
      </c>
      <c r="C1406" s="44" t="s">
        <v>4070</v>
      </c>
      <c r="D1406" s="42" t="s">
        <v>3416</v>
      </c>
      <c r="E1406" s="46">
        <v>46125</v>
      </c>
      <c r="F1406" s="26" t="s">
        <v>6222</v>
      </c>
      <c r="G1406" s="26" t="s">
        <v>6224</v>
      </c>
      <c r="H1406" s="26" t="s">
        <v>6223</v>
      </c>
      <c r="I1406" s="26" t="s">
        <v>6225</v>
      </c>
      <c r="J1406" s="26" t="s">
        <v>6224</v>
      </c>
      <c r="K1406" s="27"/>
      <c r="L1406" s="28" t="s">
        <v>6223</v>
      </c>
      <c r="M1406" s="29" t="str">
        <f t="shared" si="105"/>
        <v>✓ OK</v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4071</v>
      </c>
      <c r="C1407" s="25" t="s">
        <v>4072</v>
      </c>
      <c r="D1407" s="23" t="s">
        <v>3416</v>
      </c>
      <c r="E1407" s="46">
        <v>46125</v>
      </c>
      <c r="F1407" s="26" t="s">
        <v>6222</v>
      </c>
      <c r="G1407" s="26" t="s">
        <v>6224</v>
      </c>
      <c r="H1407" s="26" t="s">
        <v>6223</v>
      </c>
      <c r="I1407" s="26" t="s">
        <v>6225</v>
      </c>
      <c r="J1407" s="26" t="s">
        <v>6224</v>
      </c>
      <c r="K1407" s="27"/>
      <c r="L1407" s="28" t="s">
        <v>6223</v>
      </c>
      <c r="M1407" s="29" t="str">
        <f t="shared" si="105"/>
        <v>✓ OK</v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4073</v>
      </c>
      <c r="C1408" s="44" t="s">
        <v>4074</v>
      </c>
      <c r="D1408" s="42" t="s">
        <v>3416</v>
      </c>
      <c r="E1408" s="46">
        <v>46125</v>
      </c>
      <c r="F1408" s="26" t="s">
        <v>6222</v>
      </c>
      <c r="G1408" s="26" t="s">
        <v>6224</v>
      </c>
      <c r="H1408" s="26" t="s">
        <v>6223</v>
      </c>
      <c r="I1408" s="26" t="s">
        <v>6225</v>
      </c>
      <c r="J1408" s="26" t="s">
        <v>6224</v>
      </c>
      <c r="K1408" s="27"/>
      <c r="L1408" s="28" t="s">
        <v>6223</v>
      </c>
      <c r="M1408" s="29" t="str">
        <f t="shared" si="105"/>
        <v>✓ OK</v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4075</v>
      </c>
      <c r="C1409" s="25" t="s">
        <v>4076</v>
      </c>
      <c r="D1409" s="23" t="s">
        <v>3416</v>
      </c>
      <c r="E1409" s="46">
        <v>46125</v>
      </c>
      <c r="F1409" s="26" t="s">
        <v>6222</v>
      </c>
      <c r="G1409" s="26" t="s">
        <v>6224</v>
      </c>
      <c r="H1409" s="26" t="s">
        <v>6223</v>
      </c>
      <c r="I1409" s="26" t="s">
        <v>6225</v>
      </c>
      <c r="J1409" s="26" t="s">
        <v>6224</v>
      </c>
      <c r="K1409" s="27"/>
      <c r="L1409" s="28" t="s">
        <v>6223</v>
      </c>
      <c r="M1409" s="29" t="str">
        <f t="shared" si="105"/>
        <v>✓ OK</v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4077</v>
      </c>
      <c r="C1410" s="44" t="s">
        <v>4078</v>
      </c>
      <c r="D1410" s="42" t="s">
        <v>3416</v>
      </c>
      <c r="E1410" s="46">
        <v>46125</v>
      </c>
      <c r="F1410" s="26" t="s">
        <v>6222</v>
      </c>
      <c r="G1410" s="26" t="s">
        <v>6224</v>
      </c>
      <c r="H1410" s="26" t="s">
        <v>6223</v>
      </c>
      <c r="I1410" s="26" t="s">
        <v>6225</v>
      </c>
      <c r="J1410" s="26" t="s">
        <v>6224</v>
      </c>
      <c r="K1410" s="27"/>
      <c r="L1410" s="28" t="s">
        <v>6223</v>
      </c>
      <c r="M1410" s="29" t="str">
        <f t="shared" si="105"/>
        <v>✓ OK</v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4079</v>
      </c>
      <c r="C1411" s="25" t="s">
        <v>4080</v>
      </c>
      <c r="D1411" s="23" t="s">
        <v>3416</v>
      </c>
      <c r="E1411" s="46">
        <v>46125</v>
      </c>
      <c r="F1411" s="26" t="s">
        <v>6222</v>
      </c>
      <c r="G1411" s="26" t="s">
        <v>6224</v>
      </c>
      <c r="H1411" s="26" t="s">
        <v>6223</v>
      </c>
      <c r="I1411" s="26" t="s">
        <v>6225</v>
      </c>
      <c r="J1411" s="26" t="s">
        <v>6224</v>
      </c>
      <c r="K1411" s="27"/>
      <c r="L1411" s="28" t="s">
        <v>6223</v>
      </c>
      <c r="M1411" s="29" t="str">
        <f t="shared" si="105"/>
        <v>✓ OK</v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4081</v>
      </c>
      <c r="C1412" s="44" t="s">
        <v>4082</v>
      </c>
      <c r="D1412" s="42" t="s">
        <v>3416</v>
      </c>
      <c r="E1412" s="46">
        <v>46125</v>
      </c>
      <c r="F1412" s="26" t="s">
        <v>6222</v>
      </c>
      <c r="G1412" s="26" t="s">
        <v>6224</v>
      </c>
      <c r="H1412" s="26" t="s">
        <v>6223</v>
      </c>
      <c r="I1412" s="26" t="s">
        <v>6225</v>
      </c>
      <c r="J1412" s="26" t="s">
        <v>6224</v>
      </c>
      <c r="K1412" s="27"/>
      <c r="L1412" s="28" t="s">
        <v>6223</v>
      </c>
      <c r="M1412" s="29" t="str">
        <f t="shared" si="105"/>
        <v>✓ OK</v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4083</v>
      </c>
      <c r="C1413" s="25" t="s">
        <v>4084</v>
      </c>
      <c r="D1413" s="23" t="s">
        <v>3416</v>
      </c>
      <c r="E1413" s="46">
        <v>46125</v>
      </c>
      <c r="F1413" s="26" t="s">
        <v>6222</v>
      </c>
      <c r="G1413" s="26" t="s">
        <v>6224</v>
      </c>
      <c r="H1413" s="26" t="s">
        <v>6223</v>
      </c>
      <c r="I1413" s="26" t="s">
        <v>6225</v>
      </c>
      <c r="J1413" s="26" t="s">
        <v>6224</v>
      </c>
      <c r="K1413" s="27"/>
      <c r="L1413" s="28" t="s">
        <v>6223</v>
      </c>
      <c r="M1413" s="29" t="str">
        <f t="shared" si="105"/>
        <v>✓ OK</v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373" priority="46">
      <formula>MOD(ROW(),2)=0</formula>
    </cfRule>
  </conditionalFormatting>
  <conditionalFormatting sqref="G5:G1413">
    <cfRule type="expression" dxfId="372" priority="6">
      <formula>G5="No"</formula>
    </cfRule>
    <cfRule type="expression" dxfId="371" priority="5">
      <formula>G5="Yes"</formula>
    </cfRule>
  </conditionalFormatting>
  <conditionalFormatting sqref="H5:H1413">
    <cfRule type="expression" dxfId="370" priority="7">
      <formula>H5="Yes"</formula>
    </cfRule>
  </conditionalFormatting>
  <conditionalFormatting sqref="J5:J1413">
    <cfRule type="expression" dxfId="369" priority="8">
      <formula>J5="Yes"</formula>
    </cfRule>
    <cfRule type="expression" dxfId="368" priority="9">
      <formula>J5="No"</formula>
    </cfRule>
  </conditionalFormatting>
  <conditionalFormatting sqref="M5:M1413">
    <cfRule type="expression" dxfId="367" priority="2">
      <formula>M5="❌ Disc"</formula>
    </cfRule>
    <cfRule type="expression" dxfId="366" priority="3">
      <formula>M5="⚠ Missing"</formula>
    </cfRule>
    <cfRule type="expression" dxfId="365" priority="4">
      <formula>M5="⚠ Check"</formula>
    </cfRule>
    <cfRule type="expression" dxfId="364" priority="1">
      <formula>M5="✓ OK"</formula>
    </cfRule>
  </conditionalFormatting>
  <conditionalFormatting sqref="P5:P1413">
    <cfRule type="expression" dxfId="363" priority="14">
      <formula>P5="Yes"</formula>
    </cfRule>
    <cfRule type="expression" dxfId="362" priority="15">
      <formula>P5="No"</formula>
    </cfRule>
  </conditionalFormatting>
  <conditionalFormatting sqref="Q5:Q1413">
    <cfRule type="expression" dxfId="361" priority="16">
      <formula>Q5="Yes"</formula>
    </cfRule>
  </conditionalFormatting>
  <conditionalFormatting sqref="S5:S1413">
    <cfRule type="expression" dxfId="360" priority="17">
      <formula>S5="Yes"</formula>
    </cfRule>
    <cfRule type="expression" dxfId="359" priority="18">
      <formula>S5="No"</formula>
    </cfRule>
  </conditionalFormatting>
  <conditionalFormatting sqref="V5:V1413">
    <cfRule type="expression" dxfId="358" priority="10">
      <formula>V5="✓ OK"</formula>
    </cfRule>
    <cfRule type="expression" dxfId="357" priority="11">
      <formula>V5="❌ Disc"</formula>
    </cfRule>
    <cfRule type="expression" dxfId="356" priority="12">
      <formula>V5="⚠ Missing"</formula>
    </cfRule>
    <cfRule type="expression" dxfId="355" priority="13">
      <formula>V5="⚠ Check"</formula>
    </cfRule>
  </conditionalFormatting>
  <conditionalFormatting sqref="Y5:Y1413">
    <cfRule type="expression" dxfId="354" priority="24">
      <formula>Y5="No"</formula>
    </cfRule>
    <cfRule type="expression" dxfId="353" priority="23">
      <formula>Y5="Yes"</formula>
    </cfRule>
  </conditionalFormatting>
  <conditionalFormatting sqref="Z5:Z1413">
    <cfRule type="expression" dxfId="352" priority="25">
      <formula>Z5="Yes"</formula>
    </cfRule>
  </conditionalFormatting>
  <conditionalFormatting sqref="AB5:AB1413">
    <cfRule type="expression" dxfId="351" priority="26">
      <formula>AB5="Yes"</formula>
    </cfRule>
    <cfRule type="expression" dxfId="350" priority="27">
      <formula>AB5="No"</formula>
    </cfRule>
  </conditionalFormatting>
  <conditionalFormatting sqref="AE5:AE1413">
    <cfRule type="expression" dxfId="349" priority="20">
      <formula>AE5="❌ Disc"</formula>
    </cfRule>
    <cfRule type="expression" dxfId="348" priority="21">
      <formula>AE5="⚠ Missing"</formula>
    </cfRule>
    <cfRule type="expression" dxfId="347" priority="22">
      <formula>AE5="⚠ Check"</formula>
    </cfRule>
    <cfRule type="expression" dxfId="346" priority="19">
      <formula>AE5="✓ OK"</formula>
    </cfRule>
  </conditionalFormatting>
  <conditionalFormatting sqref="AH5:AH1413">
    <cfRule type="expression" dxfId="345" priority="32">
      <formula>AH5="Yes"</formula>
    </cfRule>
    <cfRule type="expression" dxfId="344" priority="33">
      <formula>AH5="No"</formula>
    </cfRule>
  </conditionalFormatting>
  <conditionalFormatting sqref="AI5:AI1413">
    <cfRule type="expression" dxfId="343" priority="34">
      <formula>AI5="Yes"</formula>
    </cfRule>
  </conditionalFormatting>
  <conditionalFormatting sqref="AK5:AK1413">
    <cfRule type="expression" dxfId="342" priority="35">
      <formula>AK5="Yes"</formula>
    </cfRule>
    <cfRule type="expression" dxfId="341" priority="36">
      <formula>AK5="No"</formula>
    </cfRule>
  </conditionalFormatting>
  <conditionalFormatting sqref="AN5:AN1413">
    <cfRule type="expression" dxfId="340" priority="29">
      <formula>AN5="❌ Disc"</formula>
    </cfRule>
    <cfRule type="expression" dxfId="339" priority="30">
      <formula>AN5="⚠ Missing"</formula>
    </cfRule>
    <cfRule type="expression" dxfId="338" priority="31">
      <formula>AN5="⚠ Check"</formula>
    </cfRule>
    <cfRule type="expression" dxfId="337" priority="28">
      <formula>AN5="✓ OK"</formula>
    </cfRule>
  </conditionalFormatting>
  <conditionalFormatting sqref="AQ5:AQ1413">
    <cfRule type="expression" dxfId="336" priority="42">
      <formula>AQ5="No"</formula>
    </cfRule>
    <cfRule type="expression" dxfId="335" priority="41">
      <formula>AQ5="Yes"</formula>
    </cfRule>
  </conditionalFormatting>
  <conditionalFormatting sqref="AR5:AR1413">
    <cfRule type="expression" dxfId="334" priority="43">
      <formula>AR5="Yes"</formula>
    </cfRule>
  </conditionalFormatting>
  <conditionalFormatting sqref="AT5:AT1413">
    <cfRule type="expression" dxfId="333" priority="44">
      <formula>AT5="Yes"</formula>
    </cfRule>
    <cfRule type="expression" dxfId="332" priority="45">
      <formula>AT5="No"</formula>
    </cfRule>
  </conditionalFormatting>
  <conditionalFormatting sqref="AW5:AW1413">
    <cfRule type="expression" dxfId="331" priority="37">
      <formula>AW5="✓ OK"</formula>
    </cfRule>
    <cfRule type="expression" dxfId="330" priority="38">
      <formula>AW5="❌ Disc"</formula>
    </cfRule>
    <cfRule type="expression" dxfId="329" priority="39">
      <formula>AW5="⚠ Missing"</formula>
    </cfRule>
    <cfRule type="expression" dxfId="328" priority="40">
      <formula>AW5="⚠ Check"</formula>
    </cfRule>
  </conditionalFormatting>
  <dataValidations count="2">
    <dataValidation type="list" allowBlank="1" sqref="AT5:AT1413 AQ5:AR1413 AK5:AK1413 AH5:AI1413 AB5:AB1413 Y5:Z1413 S5:S1413 P5:Q1413 J5:J1413 G5:H1413" xr:uid="{00000000-0002-0000-0500-000000000000}">
      <formula1>"Yes,No"</formula1>
    </dataValidation>
    <dataValidation type="list" allowBlank="1" sqref="R5:R1413 AS5:AS1413 AJ5:AJ1413 AA5:AA1413 I5:I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4085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4086</v>
      </c>
      <c r="C5" s="25" t="s">
        <v>4087</v>
      </c>
      <c r="D5" s="23" t="s">
        <v>4088</v>
      </c>
      <c r="E5" s="26"/>
      <c r="F5" s="26"/>
      <c r="G5" s="26"/>
      <c r="H5" s="26"/>
      <c r="I5" s="26"/>
      <c r="J5" s="26"/>
      <c r="K5" s="27"/>
      <c r="L5" s="28"/>
      <c r="M5" s="29" t="str">
        <f t="shared" ref="M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4089</v>
      </c>
      <c r="C6" s="44" t="s">
        <v>4090</v>
      </c>
      <c r="D6" s="42" t="s">
        <v>4088</v>
      </c>
      <c r="E6" s="26"/>
      <c r="F6" s="26"/>
      <c r="G6" s="26"/>
      <c r="H6" s="26"/>
      <c r="I6" s="26"/>
      <c r="J6" s="26"/>
      <c r="K6" s="27"/>
      <c r="L6" s="28"/>
      <c r="M6" s="29" t="str">
        <f t="shared" ref="M6:M69" si="5">IF(E6="","",IF(H6="Yes","❌ Disc",IF(G6="No","⚠ Missing",IF(J6="Yes","✓ OK","⚠ Check"))))</f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ref="V6:V69" si="6">IF(N6="","",IF(Q6="Yes","❌ Disc",IF(P6="No","⚠ Missing",IF(S6="Yes","✓ OK","⚠ Check"))))</f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ref="AE6:AE69" si="7">IF(W6="","",IF(Z6="Yes","❌ Disc",IF(Y6="No","⚠ Missing",IF(AB6="Yes","✓ OK","⚠ Check"))))</f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ref="AN6:AN69" si="8">IF(AF6="","",IF(AI6="Yes","❌ Disc",IF(AH6="No","⚠ Missing",IF(AK6="Yes","✓ OK","⚠ Check"))))</f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ref="AW6:AW69" si="9">IF(AO6="","",IF(AR6="Yes","❌ Disc",IF(AQ6="No","⚠ Missing",IF(AT6="Yes","✓ OK","⚠ Check"))))</f>
        <v/>
      </c>
    </row>
    <row r="7" spans="1:49" ht="18" customHeight="1" x14ac:dyDescent="0.3">
      <c r="A7" s="23">
        <v>3</v>
      </c>
      <c r="B7" s="24" t="s">
        <v>4091</v>
      </c>
      <c r="C7" s="25" t="s">
        <v>4092</v>
      </c>
      <c r="D7" s="23" t="s">
        <v>4088</v>
      </c>
      <c r="E7" s="26"/>
      <c r="F7" s="26"/>
      <c r="G7" s="26"/>
      <c r="H7" s="26"/>
      <c r="I7" s="26"/>
      <c r="J7" s="26"/>
      <c r="K7" s="27"/>
      <c r="L7" s="28"/>
      <c r="M7" s="29" t="str">
        <f t="shared" si="5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6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7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8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9"/>
        <v/>
      </c>
    </row>
    <row r="8" spans="1:49" ht="18" customHeight="1" x14ac:dyDescent="0.3">
      <c r="A8" s="42">
        <v>4</v>
      </c>
      <c r="B8" s="43" t="s">
        <v>4093</v>
      </c>
      <c r="C8" s="44" t="s">
        <v>4094</v>
      </c>
      <c r="D8" s="42" t="s">
        <v>4088</v>
      </c>
      <c r="E8" s="26"/>
      <c r="F8" s="26"/>
      <c r="G8" s="26"/>
      <c r="H8" s="26"/>
      <c r="I8" s="26"/>
      <c r="J8" s="26"/>
      <c r="K8" s="27"/>
      <c r="L8" s="28"/>
      <c r="M8" s="29" t="str">
        <f t="shared" si="5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6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7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8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9"/>
        <v/>
      </c>
    </row>
    <row r="9" spans="1:49" ht="18" customHeight="1" x14ac:dyDescent="0.3">
      <c r="A9" s="23">
        <v>5</v>
      </c>
      <c r="B9" s="24" t="s">
        <v>4095</v>
      </c>
      <c r="C9" s="25" t="s">
        <v>4096</v>
      </c>
      <c r="D9" s="23" t="s">
        <v>4088</v>
      </c>
      <c r="E9" s="26"/>
      <c r="F9" s="26"/>
      <c r="G9" s="26"/>
      <c r="H9" s="26"/>
      <c r="I9" s="26"/>
      <c r="J9" s="26"/>
      <c r="K9" s="27"/>
      <c r="L9" s="28"/>
      <c r="M9" s="29" t="str">
        <f t="shared" si="5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6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7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8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9"/>
        <v/>
      </c>
    </row>
    <row r="10" spans="1:49" ht="18" customHeight="1" x14ac:dyDescent="0.3">
      <c r="A10" s="42">
        <v>6</v>
      </c>
      <c r="B10" s="43" t="s">
        <v>4097</v>
      </c>
      <c r="C10" s="44" t="s">
        <v>4098</v>
      </c>
      <c r="D10" s="42" t="s">
        <v>4088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5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6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7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8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9"/>
        <v/>
      </c>
    </row>
    <row r="11" spans="1:49" ht="18" customHeight="1" x14ac:dyDescent="0.3">
      <c r="A11" s="23">
        <v>7</v>
      </c>
      <c r="B11" s="24" t="s">
        <v>4099</v>
      </c>
      <c r="C11" s="25" t="s">
        <v>4100</v>
      </c>
      <c r="D11" s="23" t="s">
        <v>4088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5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6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7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8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9"/>
        <v/>
      </c>
    </row>
    <row r="12" spans="1:49" ht="18" customHeight="1" x14ac:dyDescent="0.3">
      <c r="A12" s="42">
        <v>8</v>
      </c>
      <c r="B12" s="43" t="s">
        <v>4101</v>
      </c>
      <c r="C12" s="44" t="s">
        <v>4102</v>
      </c>
      <c r="D12" s="42" t="s">
        <v>4088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5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6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7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8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9"/>
        <v/>
      </c>
    </row>
    <row r="13" spans="1:49" ht="18" customHeight="1" x14ac:dyDescent="0.3">
      <c r="A13" s="23">
        <v>9</v>
      </c>
      <c r="B13" s="24" t="s">
        <v>4103</v>
      </c>
      <c r="C13" s="25" t="s">
        <v>4104</v>
      </c>
      <c r="D13" s="23" t="s">
        <v>4088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5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6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7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8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9"/>
        <v/>
      </c>
    </row>
    <row r="14" spans="1:49" ht="18" customHeight="1" x14ac:dyDescent="0.3">
      <c r="A14" s="42">
        <v>10</v>
      </c>
      <c r="B14" s="43" t="s">
        <v>4105</v>
      </c>
      <c r="C14" s="44" t="s">
        <v>4106</v>
      </c>
      <c r="D14" s="42" t="s">
        <v>4088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5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6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7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8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9"/>
        <v/>
      </c>
    </row>
    <row r="15" spans="1:49" ht="18" customHeight="1" x14ac:dyDescent="0.3">
      <c r="A15" s="23">
        <v>11</v>
      </c>
      <c r="B15" s="24" t="s">
        <v>4107</v>
      </c>
      <c r="C15" s="25" t="s">
        <v>4108</v>
      </c>
      <c r="D15" s="23" t="s">
        <v>4088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5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6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7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8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9"/>
        <v/>
      </c>
    </row>
    <row r="16" spans="1:49" ht="18" customHeight="1" x14ac:dyDescent="0.3">
      <c r="A16" s="42">
        <v>12</v>
      </c>
      <c r="B16" s="43" t="s">
        <v>4109</v>
      </c>
      <c r="C16" s="44" t="s">
        <v>4110</v>
      </c>
      <c r="D16" s="42" t="s">
        <v>4088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5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6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7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8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9"/>
        <v/>
      </c>
    </row>
    <row r="17" spans="1:49" ht="18" customHeight="1" x14ac:dyDescent="0.3">
      <c r="A17" s="23">
        <v>13</v>
      </c>
      <c r="B17" s="24" t="s">
        <v>4111</v>
      </c>
      <c r="C17" s="25" t="s">
        <v>4112</v>
      </c>
      <c r="D17" s="23" t="s">
        <v>4088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5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6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7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8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9"/>
        <v/>
      </c>
    </row>
    <row r="18" spans="1:49" ht="18" customHeight="1" x14ac:dyDescent="0.3">
      <c r="A18" s="42">
        <v>14</v>
      </c>
      <c r="B18" s="43" t="s">
        <v>4113</v>
      </c>
      <c r="C18" s="44" t="s">
        <v>4114</v>
      </c>
      <c r="D18" s="42" t="s">
        <v>4088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5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6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7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8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9"/>
        <v/>
      </c>
    </row>
    <row r="19" spans="1:49" ht="18" customHeight="1" x14ac:dyDescent="0.3">
      <c r="A19" s="23">
        <v>15</v>
      </c>
      <c r="B19" s="24" t="s">
        <v>4115</v>
      </c>
      <c r="C19" s="25" t="s">
        <v>4116</v>
      </c>
      <c r="D19" s="23" t="s">
        <v>4088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5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6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7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8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9"/>
        <v/>
      </c>
    </row>
    <row r="20" spans="1:49" ht="18" customHeight="1" x14ac:dyDescent="0.3">
      <c r="A20" s="42">
        <v>16</v>
      </c>
      <c r="B20" s="43" t="s">
        <v>4117</v>
      </c>
      <c r="C20" s="44" t="s">
        <v>4118</v>
      </c>
      <c r="D20" s="42" t="s">
        <v>4088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5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6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7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8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9"/>
        <v/>
      </c>
    </row>
    <row r="21" spans="1:49" ht="18" customHeight="1" x14ac:dyDescent="0.3">
      <c r="A21" s="23">
        <v>17</v>
      </c>
      <c r="B21" s="24" t="s">
        <v>4119</v>
      </c>
      <c r="C21" s="25" t="s">
        <v>4120</v>
      </c>
      <c r="D21" s="23" t="s">
        <v>4088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5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6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7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8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9"/>
        <v/>
      </c>
    </row>
    <row r="22" spans="1:49" ht="18" customHeight="1" x14ac:dyDescent="0.3">
      <c r="A22" s="42">
        <v>18</v>
      </c>
      <c r="B22" s="43" t="s">
        <v>4121</v>
      </c>
      <c r="C22" s="44" t="s">
        <v>4122</v>
      </c>
      <c r="D22" s="42" t="s">
        <v>4088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5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6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7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8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9"/>
        <v/>
      </c>
    </row>
    <row r="23" spans="1:49" ht="18" customHeight="1" x14ac:dyDescent="0.3">
      <c r="A23" s="23">
        <v>19</v>
      </c>
      <c r="B23" s="24" t="s">
        <v>4123</v>
      </c>
      <c r="C23" s="25" t="s">
        <v>4124</v>
      </c>
      <c r="D23" s="23" t="s">
        <v>4088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5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6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7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8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9"/>
        <v/>
      </c>
    </row>
    <row r="24" spans="1:49" ht="18" customHeight="1" x14ac:dyDescent="0.3">
      <c r="A24" s="42">
        <v>20</v>
      </c>
      <c r="B24" s="43" t="s">
        <v>4125</v>
      </c>
      <c r="C24" s="44" t="s">
        <v>4126</v>
      </c>
      <c r="D24" s="42" t="s">
        <v>4088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5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6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7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8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9"/>
        <v/>
      </c>
    </row>
    <row r="25" spans="1:49" ht="18" customHeight="1" x14ac:dyDescent="0.3">
      <c r="A25" s="23">
        <v>21</v>
      </c>
      <c r="B25" s="24" t="s">
        <v>4127</v>
      </c>
      <c r="C25" s="25" t="s">
        <v>4128</v>
      </c>
      <c r="D25" s="23" t="s">
        <v>4088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5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6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7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8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9"/>
        <v/>
      </c>
    </row>
    <row r="26" spans="1:49" ht="18" customHeight="1" x14ac:dyDescent="0.3">
      <c r="A26" s="42">
        <v>22</v>
      </c>
      <c r="B26" s="43" t="s">
        <v>4129</v>
      </c>
      <c r="C26" s="44" t="s">
        <v>4130</v>
      </c>
      <c r="D26" s="42" t="s">
        <v>4088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5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6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7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8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9"/>
        <v/>
      </c>
    </row>
    <row r="27" spans="1:49" ht="18" customHeight="1" x14ac:dyDescent="0.3">
      <c r="A27" s="23">
        <v>23</v>
      </c>
      <c r="B27" s="24" t="s">
        <v>4131</v>
      </c>
      <c r="C27" s="25" t="s">
        <v>4132</v>
      </c>
      <c r="D27" s="23" t="s">
        <v>4088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5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6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7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8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9"/>
        <v/>
      </c>
    </row>
    <row r="28" spans="1:49" ht="18" customHeight="1" x14ac:dyDescent="0.3">
      <c r="A28" s="42">
        <v>24</v>
      </c>
      <c r="B28" s="43" t="s">
        <v>4133</v>
      </c>
      <c r="C28" s="44" t="s">
        <v>4134</v>
      </c>
      <c r="D28" s="42" t="s">
        <v>4088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5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6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7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8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9"/>
        <v/>
      </c>
    </row>
    <row r="29" spans="1:49" ht="18" customHeight="1" x14ac:dyDescent="0.3">
      <c r="A29" s="23">
        <v>25</v>
      </c>
      <c r="B29" s="24" t="s">
        <v>4135</v>
      </c>
      <c r="C29" s="25" t="s">
        <v>4136</v>
      </c>
      <c r="D29" s="23" t="s">
        <v>4088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5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6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7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8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9"/>
        <v/>
      </c>
    </row>
    <row r="30" spans="1:49" ht="18" customHeight="1" x14ac:dyDescent="0.3">
      <c r="A30" s="42">
        <v>26</v>
      </c>
      <c r="B30" s="43" t="s">
        <v>4137</v>
      </c>
      <c r="C30" s="44" t="s">
        <v>4138</v>
      </c>
      <c r="D30" s="42" t="s">
        <v>4088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5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6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7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8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9"/>
        <v/>
      </c>
    </row>
    <row r="31" spans="1:49" ht="18" customHeight="1" x14ac:dyDescent="0.3">
      <c r="A31" s="23">
        <v>27</v>
      </c>
      <c r="B31" s="24" t="s">
        <v>4139</v>
      </c>
      <c r="C31" s="25" t="s">
        <v>4140</v>
      </c>
      <c r="D31" s="23" t="s">
        <v>4088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5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6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7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8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9"/>
        <v/>
      </c>
    </row>
    <row r="32" spans="1:49" ht="18" customHeight="1" x14ac:dyDescent="0.3">
      <c r="A32" s="42">
        <v>28</v>
      </c>
      <c r="B32" s="43" t="s">
        <v>4141</v>
      </c>
      <c r="C32" s="44" t="s">
        <v>4142</v>
      </c>
      <c r="D32" s="42" t="s">
        <v>4088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5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6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7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8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9"/>
        <v/>
      </c>
    </row>
    <row r="33" spans="1:49" ht="18" customHeight="1" x14ac:dyDescent="0.3">
      <c r="A33" s="23">
        <v>29</v>
      </c>
      <c r="B33" s="24" t="s">
        <v>4143</v>
      </c>
      <c r="C33" s="25" t="s">
        <v>4144</v>
      </c>
      <c r="D33" s="23" t="s">
        <v>4088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5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6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7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8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9"/>
        <v/>
      </c>
    </row>
    <row r="34" spans="1:49" ht="18" customHeight="1" x14ac:dyDescent="0.3">
      <c r="A34" s="42">
        <v>30</v>
      </c>
      <c r="B34" s="43" t="s">
        <v>4145</v>
      </c>
      <c r="C34" s="44" t="s">
        <v>4146</v>
      </c>
      <c r="D34" s="42" t="s">
        <v>4088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5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6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7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8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9"/>
        <v/>
      </c>
    </row>
    <row r="35" spans="1:49" ht="18" customHeight="1" x14ac:dyDescent="0.3">
      <c r="A35" s="23">
        <v>31</v>
      </c>
      <c r="B35" s="24" t="s">
        <v>4147</v>
      </c>
      <c r="C35" s="25" t="s">
        <v>4148</v>
      </c>
      <c r="D35" s="23" t="s">
        <v>4088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5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6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7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8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9"/>
        <v/>
      </c>
    </row>
    <row r="36" spans="1:49" ht="18" customHeight="1" x14ac:dyDescent="0.3">
      <c r="A36" s="42">
        <v>32</v>
      </c>
      <c r="B36" s="43" t="s">
        <v>4149</v>
      </c>
      <c r="C36" s="44" t="s">
        <v>4150</v>
      </c>
      <c r="D36" s="42" t="s">
        <v>4088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5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6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7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8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9"/>
        <v/>
      </c>
    </row>
    <row r="37" spans="1:49" ht="18" customHeight="1" x14ac:dyDescent="0.3">
      <c r="A37" s="23">
        <v>33</v>
      </c>
      <c r="B37" s="24" t="s">
        <v>4151</v>
      </c>
      <c r="C37" s="25" t="s">
        <v>4152</v>
      </c>
      <c r="D37" s="23" t="s">
        <v>4088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5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6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7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8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9"/>
        <v/>
      </c>
    </row>
    <row r="38" spans="1:49" ht="18" customHeight="1" x14ac:dyDescent="0.3">
      <c r="A38" s="42">
        <v>34</v>
      </c>
      <c r="B38" s="43" t="s">
        <v>4153</v>
      </c>
      <c r="C38" s="44" t="s">
        <v>4154</v>
      </c>
      <c r="D38" s="42" t="s">
        <v>4088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4155</v>
      </c>
      <c r="C39" s="25" t="s">
        <v>4156</v>
      </c>
      <c r="D39" s="23" t="s">
        <v>4088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4157</v>
      </c>
      <c r="C40" s="44" t="s">
        <v>4158</v>
      </c>
      <c r="D40" s="42" t="s">
        <v>4088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4159</v>
      </c>
      <c r="C41" s="25" t="s">
        <v>4160</v>
      </c>
      <c r="D41" s="23" t="s">
        <v>4088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4161</v>
      </c>
      <c r="C42" s="44" t="s">
        <v>4162</v>
      </c>
      <c r="D42" s="42" t="s">
        <v>4088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4163</v>
      </c>
      <c r="C43" s="25" t="s">
        <v>4164</v>
      </c>
      <c r="D43" s="23" t="s">
        <v>4088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4165</v>
      </c>
      <c r="C44" s="44" t="s">
        <v>4166</v>
      </c>
      <c r="D44" s="42" t="s">
        <v>4088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4167</v>
      </c>
      <c r="C45" s="25" t="s">
        <v>4168</v>
      </c>
      <c r="D45" s="23" t="s">
        <v>4088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4169</v>
      </c>
      <c r="C46" s="44" t="s">
        <v>4170</v>
      </c>
      <c r="D46" s="42" t="s">
        <v>4088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4171</v>
      </c>
      <c r="C47" s="25" t="s">
        <v>4172</v>
      </c>
      <c r="D47" s="23" t="s">
        <v>4088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4173</v>
      </c>
      <c r="C48" s="44" t="s">
        <v>4174</v>
      </c>
      <c r="D48" s="42" t="s">
        <v>4175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4176</v>
      </c>
      <c r="C49" s="25" t="s">
        <v>4177</v>
      </c>
      <c r="D49" s="23" t="s">
        <v>4175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4178</v>
      </c>
      <c r="C50" s="44" t="s">
        <v>4179</v>
      </c>
      <c r="D50" s="42" t="s">
        <v>4175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4180</v>
      </c>
      <c r="C51" s="25" t="s">
        <v>4181</v>
      </c>
      <c r="D51" s="23" t="s">
        <v>4175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4182</v>
      </c>
      <c r="C52" s="44" t="s">
        <v>4183</v>
      </c>
      <c r="D52" s="42" t="s">
        <v>4175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4184</v>
      </c>
      <c r="C53" s="25" t="s">
        <v>4185</v>
      </c>
      <c r="D53" s="23" t="s">
        <v>4175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4186</v>
      </c>
      <c r="C54" s="44" t="s">
        <v>4187</v>
      </c>
      <c r="D54" s="42" t="s">
        <v>4175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4188</v>
      </c>
      <c r="C55" s="25" t="s">
        <v>4189</v>
      </c>
      <c r="D55" s="23" t="s">
        <v>4175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4190</v>
      </c>
      <c r="C56" s="44" t="s">
        <v>4191</v>
      </c>
      <c r="D56" s="42" t="s">
        <v>4175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4192</v>
      </c>
      <c r="C57" s="25" t="s">
        <v>4193</v>
      </c>
      <c r="D57" s="23" t="s">
        <v>4175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4194</v>
      </c>
      <c r="C58" s="44" t="s">
        <v>4195</v>
      </c>
      <c r="D58" s="42" t="s">
        <v>4196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4197</v>
      </c>
      <c r="C59" s="25" t="s">
        <v>4198</v>
      </c>
      <c r="D59" s="23" t="s">
        <v>4196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4199</v>
      </c>
      <c r="C60" s="44" t="s">
        <v>4200</v>
      </c>
      <c r="D60" s="42" t="s">
        <v>4196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4201</v>
      </c>
      <c r="C61" s="25" t="s">
        <v>4202</v>
      </c>
      <c r="D61" s="23" t="s">
        <v>4196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4203</v>
      </c>
      <c r="C62" s="44" t="s">
        <v>4204</v>
      </c>
      <c r="D62" s="42" t="s">
        <v>4196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4205</v>
      </c>
      <c r="C63" s="25" t="s">
        <v>4206</v>
      </c>
      <c r="D63" s="23" t="s">
        <v>4196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4207</v>
      </c>
      <c r="C64" s="44" t="s">
        <v>4208</v>
      </c>
      <c r="D64" s="42" t="s">
        <v>4196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4209</v>
      </c>
      <c r="C65" s="25" t="s">
        <v>4210</v>
      </c>
      <c r="D65" s="23" t="s">
        <v>4196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4211</v>
      </c>
      <c r="C66" s="44" t="s">
        <v>4212</v>
      </c>
      <c r="D66" s="42" t="s">
        <v>4196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4213</v>
      </c>
      <c r="C67" s="25" t="s">
        <v>4214</v>
      </c>
      <c r="D67" s="23" t="s">
        <v>4196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4215</v>
      </c>
      <c r="C68" s="44" t="s">
        <v>4216</v>
      </c>
      <c r="D68" s="42" t="s">
        <v>4196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4217</v>
      </c>
      <c r="C69" s="25" t="s">
        <v>4218</v>
      </c>
      <c r="D69" s="23" t="s">
        <v>4196</v>
      </c>
      <c r="E69" s="26"/>
      <c r="F69" s="26"/>
      <c r="G69" s="26"/>
      <c r="H69" s="26"/>
      <c r="I69" s="26"/>
      <c r="J69" s="26"/>
      <c r="K69" s="27"/>
      <c r="L69" s="28"/>
      <c r="M69" s="29" t="str">
        <f t="shared" si="5"/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v>66</v>
      </c>
      <c r="B70" s="43" t="s">
        <v>4219</v>
      </c>
      <c r="C70" s="44" t="s">
        <v>4220</v>
      </c>
      <c r="D70" s="42" t="s">
        <v>4196</v>
      </c>
      <c r="E70" s="26"/>
      <c r="F70" s="26"/>
      <c r="G70" s="26"/>
      <c r="H70" s="26"/>
      <c r="I70" s="26"/>
      <c r="J70" s="26"/>
      <c r="K70" s="27"/>
      <c r="L70" s="28"/>
      <c r="M70" s="29" t="str">
        <f t="shared" ref="M70:M117" si="10">IF(E70="","",IF(H70="Yes","❌ Disc",IF(G70="No","⚠ Missing",IF(J70="Yes","✓ OK","⚠ Check"))))</f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ref="V70:V117" si="11">IF(N70="","",IF(Q70="Yes","❌ Disc",IF(P70="No","⚠ Missing",IF(S70="Yes","✓ OK","⚠ Check"))))</f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ref="AE70:AE117" si="12">IF(W70="","",IF(Z70="Yes","❌ Disc",IF(Y70="No","⚠ Missing",IF(AB70="Yes","✓ OK","⚠ Check"))))</f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ref="AN70:AN117" si="13">IF(AF70="","",IF(AI70="Yes","❌ Disc",IF(AH70="No","⚠ Missing",IF(AK70="Yes","✓ OK","⚠ Check"))))</f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ref="AW70:AW117" si="14">IF(AO70="","",IF(AR70="Yes","❌ Disc",IF(AQ70="No","⚠ Missing",IF(AT70="Yes","✓ OK","⚠ Check"))))</f>
        <v/>
      </c>
    </row>
    <row r="71" spans="1:49" ht="18" customHeight="1" x14ac:dyDescent="0.3">
      <c r="A71" s="23">
        <v>67</v>
      </c>
      <c r="B71" s="24" t="s">
        <v>4221</v>
      </c>
      <c r="C71" s="25" t="s">
        <v>4222</v>
      </c>
      <c r="D71" s="23" t="s">
        <v>4196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4223</v>
      </c>
      <c r="C72" s="44" t="s">
        <v>4224</v>
      </c>
      <c r="D72" s="42" t="s">
        <v>4196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4225</v>
      </c>
      <c r="C73" s="25" t="s">
        <v>4226</v>
      </c>
      <c r="D73" s="23" t="s">
        <v>4196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4227</v>
      </c>
      <c r="C74" s="44" t="s">
        <v>4228</v>
      </c>
      <c r="D74" s="42" t="s">
        <v>4196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4229</v>
      </c>
      <c r="C75" s="25" t="s">
        <v>4230</v>
      </c>
      <c r="D75" s="23" t="s">
        <v>4196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4231</v>
      </c>
      <c r="C76" s="44" t="s">
        <v>4232</v>
      </c>
      <c r="D76" s="42" t="s">
        <v>4196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4233</v>
      </c>
      <c r="C77" s="25" t="s">
        <v>4234</v>
      </c>
      <c r="D77" s="23" t="s">
        <v>4196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x14ac:dyDescent="0.3">
      <c r="A78">
        <v>74</v>
      </c>
      <c r="B78" t="s">
        <v>4235</v>
      </c>
      <c r="C78" t="s">
        <v>4236</v>
      </c>
      <c r="D78" t="s">
        <v>4237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x14ac:dyDescent="0.3">
      <c r="A79">
        <v>75</v>
      </c>
      <c r="B79" t="s">
        <v>4238</v>
      </c>
      <c r="C79" t="s">
        <v>4239</v>
      </c>
      <c r="D79" t="s">
        <v>4237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x14ac:dyDescent="0.3">
      <c r="A80">
        <v>76</v>
      </c>
      <c r="B80" t="s">
        <v>4240</v>
      </c>
      <c r="C80" t="s">
        <v>4241</v>
      </c>
      <c r="D80" t="s">
        <v>4237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x14ac:dyDescent="0.3">
      <c r="A81">
        <v>77</v>
      </c>
      <c r="B81" t="s">
        <v>4242</v>
      </c>
      <c r="C81" t="s">
        <v>4243</v>
      </c>
      <c r="D81" t="s">
        <v>4237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x14ac:dyDescent="0.3">
      <c r="A82">
        <v>78</v>
      </c>
      <c r="B82" t="s">
        <v>4244</v>
      </c>
      <c r="C82" t="s">
        <v>4245</v>
      </c>
      <c r="D82" t="s">
        <v>4237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x14ac:dyDescent="0.3">
      <c r="A83">
        <v>79</v>
      </c>
      <c r="B83" t="s">
        <v>4246</v>
      </c>
      <c r="C83" t="s">
        <v>4247</v>
      </c>
      <c r="D83" t="s">
        <v>4237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x14ac:dyDescent="0.3">
      <c r="A84">
        <v>80</v>
      </c>
      <c r="B84" t="s">
        <v>4248</v>
      </c>
      <c r="C84" t="s">
        <v>4249</v>
      </c>
      <c r="D84" t="s">
        <v>4237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x14ac:dyDescent="0.3">
      <c r="A85">
        <v>81</v>
      </c>
      <c r="B85" t="s">
        <v>4250</v>
      </c>
      <c r="C85" t="s">
        <v>4251</v>
      </c>
      <c r="D85" t="s">
        <v>4237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x14ac:dyDescent="0.3">
      <c r="A86">
        <v>82</v>
      </c>
      <c r="B86" t="s">
        <v>4252</v>
      </c>
      <c r="C86" t="s">
        <v>4253</v>
      </c>
      <c r="D86" t="s">
        <v>4237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0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x14ac:dyDescent="0.3">
      <c r="A87">
        <v>83</v>
      </c>
      <c r="B87" t="s">
        <v>4254</v>
      </c>
      <c r="C87" t="s">
        <v>4255</v>
      </c>
      <c r="D87" t="s">
        <v>4237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0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x14ac:dyDescent="0.3">
      <c r="A88">
        <v>84</v>
      </c>
      <c r="B88" t="s">
        <v>4256</v>
      </c>
      <c r="C88" t="s">
        <v>4257</v>
      </c>
      <c r="D88" t="s">
        <v>4237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0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x14ac:dyDescent="0.3">
      <c r="A89">
        <v>85</v>
      </c>
      <c r="B89" t="s">
        <v>4258</v>
      </c>
      <c r="C89" t="s">
        <v>4259</v>
      </c>
      <c r="D89" t="s">
        <v>4237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0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x14ac:dyDescent="0.3">
      <c r="A90">
        <v>86</v>
      </c>
      <c r="B90" t="s">
        <v>4260</v>
      </c>
      <c r="C90" t="s">
        <v>4261</v>
      </c>
      <c r="D90" t="s">
        <v>4237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0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x14ac:dyDescent="0.3">
      <c r="A91">
        <v>87</v>
      </c>
      <c r="B91" t="s">
        <v>4262</v>
      </c>
      <c r="C91" t="s">
        <v>4263</v>
      </c>
      <c r="D91" t="s">
        <v>4237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0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x14ac:dyDescent="0.3">
      <c r="A92">
        <v>88</v>
      </c>
      <c r="B92" t="s">
        <v>4264</v>
      </c>
      <c r="C92" t="s">
        <v>4265</v>
      </c>
      <c r="D92" t="s">
        <v>4237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0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x14ac:dyDescent="0.3">
      <c r="A93">
        <v>89</v>
      </c>
      <c r="B93" t="s">
        <v>4266</v>
      </c>
      <c r="C93" t="s">
        <v>4267</v>
      </c>
      <c r="D93" t="s">
        <v>4237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0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x14ac:dyDescent="0.3">
      <c r="A94">
        <v>90</v>
      </c>
      <c r="B94" t="s">
        <v>4268</v>
      </c>
      <c r="C94" t="s">
        <v>4269</v>
      </c>
      <c r="D94" t="s">
        <v>4237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0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x14ac:dyDescent="0.3">
      <c r="A95">
        <v>91</v>
      </c>
      <c r="B95" t="s">
        <v>4270</v>
      </c>
      <c r="C95" t="s">
        <v>4271</v>
      </c>
      <c r="D95" t="s">
        <v>4237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0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x14ac:dyDescent="0.3">
      <c r="A96">
        <v>92</v>
      </c>
      <c r="B96" t="s">
        <v>4272</v>
      </c>
      <c r="C96" t="s">
        <v>4273</v>
      </c>
      <c r="D96" t="s">
        <v>4237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0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x14ac:dyDescent="0.3">
      <c r="A97">
        <v>93</v>
      </c>
      <c r="B97" t="s">
        <v>4274</v>
      </c>
      <c r="C97" t="s">
        <v>4275</v>
      </c>
      <c r="D97" t="s">
        <v>4237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0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x14ac:dyDescent="0.3">
      <c r="A98">
        <v>94</v>
      </c>
      <c r="B98" t="s">
        <v>4276</v>
      </c>
      <c r="C98" t="s">
        <v>4277</v>
      </c>
      <c r="D98" t="s">
        <v>4237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0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x14ac:dyDescent="0.3">
      <c r="A99">
        <v>95</v>
      </c>
      <c r="B99" t="s">
        <v>4278</v>
      </c>
      <c r="C99" t="s">
        <v>4279</v>
      </c>
      <c r="D99" t="s">
        <v>4237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0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x14ac:dyDescent="0.3">
      <c r="A100">
        <v>96</v>
      </c>
      <c r="B100" t="s">
        <v>4280</v>
      </c>
      <c r="C100" t="s">
        <v>4281</v>
      </c>
      <c r="D100" t="s">
        <v>4237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0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x14ac:dyDescent="0.3">
      <c r="A101">
        <v>97</v>
      </c>
      <c r="B101" t="s">
        <v>4282</v>
      </c>
      <c r="C101" t="s">
        <v>4283</v>
      </c>
      <c r="D101" t="s">
        <v>4237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10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11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12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13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4"/>
        <v/>
      </c>
    </row>
    <row r="102" spans="1:49" x14ac:dyDescent="0.3">
      <c r="A102">
        <v>98</v>
      </c>
      <c r="B102" t="s">
        <v>4284</v>
      </c>
      <c r="C102" t="s">
        <v>4285</v>
      </c>
      <c r="D102" t="s">
        <v>4237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0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1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2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3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4"/>
        <v/>
      </c>
    </row>
    <row r="103" spans="1:49" x14ac:dyDescent="0.3">
      <c r="A103">
        <v>99</v>
      </c>
      <c r="B103" t="s">
        <v>4286</v>
      </c>
      <c r="C103" t="s">
        <v>4287</v>
      </c>
      <c r="D103" t="s">
        <v>4237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0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1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2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3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4"/>
        <v/>
      </c>
    </row>
    <row r="104" spans="1:49" x14ac:dyDescent="0.3">
      <c r="A104">
        <v>100</v>
      </c>
      <c r="B104" t="s">
        <v>4288</v>
      </c>
      <c r="C104" t="s">
        <v>4289</v>
      </c>
      <c r="D104" t="s">
        <v>4237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0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1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2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3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4"/>
        <v/>
      </c>
    </row>
    <row r="105" spans="1:49" x14ac:dyDescent="0.3">
      <c r="A105">
        <v>101</v>
      </c>
      <c r="B105" t="s">
        <v>4290</v>
      </c>
      <c r="C105" t="s">
        <v>4291</v>
      </c>
      <c r="D105" t="s">
        <v>4237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0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1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2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3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4"/>
        <v/>
      </c>
    </row>
    <row r="106" spans="1:49" x14ac:dyDescent="0.3">
      <c r="A106">
        <v>102</v>
      </c>
      <c r="B106" t="s">
        <v>4292</v>
      </c>
      <c r="C106" t="s">
        <v>4293</v>
      </c>
      <c r="D106" t="s">
        <v>4237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0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1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2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3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4"/>
        <v/>
      </c>
    </row>
    <row r="107" spans="1:49" x14ac:dyDescent="0.3">
      <c r="A107">
        <v>103</v>
      </c>
      <c r="B107" t="s">
        <v>4294</v>
      </c>
      <c r="C107" t="s">
        <v>4295</v>
      </c>
      <c r="D107" t="s">
        <v>4237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0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1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2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3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4"/>
        <v/>
      </c>
    </row>
    <row r="108" spans="1:49" x14ac:dyDescent="0.3">
      <c r="A108">
        <v>104</v>
      </c>
      <c r="B108" t="s">
        <v>4296</v>
      </c>
      <c r="C108" t="s">
        <v>4297</v>
      </c>
      <c r="D108" t="s">
        <v>4237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0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1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2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3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4"/>
        <v/>
      </c>
    </row>
    <row r="109" spans="1:49" x14ac:dyDescent="0.3">
      <c r="A109">
        <v>105</v>
      </c>
      <c r="B109" t="s">
        <v>4298</v>
      </c>
      <c r="C109" t="s">
        <v>4299</v>
      </c>
      <c r="D109" t="s">
        <v>4237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0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1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2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3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4"/>
        <v/>
      </c>
    </row>
    <row r="110" spans="1:49" x14ac:dyDescent="0.3">
      <c r="A110">
        <v>106</v>
      </c>
      <c r="B110" t="s">
        <v>4300</v>
      </c>
      <c r="C110" t="s">
        <v>4301</v>
      </c>
      <c r="D110" t="s">
        <v>4237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0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1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2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3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4"/>
        <v/>
      </c>
    </row>
    <row r="111" spans="1:49" x14ac:dyDescent="0.3">
      <c r="A111">
        <v>107</v>
      </c>
      <c r="B111" t="s">
        <v>4302</v>
      </c>
      <c r="C111" t="s">
        <v>4303</v>
      </c>
      <c r="D111" t="s">
        <v>4237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0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1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2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3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4"/>
        <v/>
      </c>
    </row>
    <row r="112" spans="1:49" x14ac:dyDescent="0.3">
      <c r="A112">
        <v>108</v>
      </c>
      <c r="B112" t="s">
        <v>4304</v>
      </c>
      <c r="C112" t="s">
        <v>4305</v>
      </c>
      <c r="D112" t="s">
        <v>4237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0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1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2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3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4"/>
        <v/>
      </c>
    </row>
    <row r="113" spans="1:49" x14ac:dyDescent="0.3">
      <c r="A113">
        <v>109</v>
      </c>
      <c r="B113" t="s">
        <v>4306</v>
      </c>
      <c r="C113" t="s">
        <v>4307</v>
      </c>
      <c r="D113" t="s">
        <v>4237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0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1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2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3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4"/>
        <v/>
      </c>
    </row>
    <row r="114" spans="1:49" x14ac:dyDescent="0.3">
      <c r="A114">
        <v>110</v>
      </c>
      <c r="B114" t="s">
        <v>4308</v>
      </c>
      <c r="C114" t="s">
        <v>4309</v>
      </c>
      <c r="D114" t="s">
        <v>4237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0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1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2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3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4"/>
        <v/>
      </c>
    </row>
    <row r="115" spans="1:49" x14ac:dyDescent="0.3">
      <c r="A115">
        <v>111</v>
      </c>
      <c r="B115" t="s">
        <v>4310</v>
      </c>
      <c r="C115" t="s">
        <v>4311</v>
      </c>
      <c r="D115" t="s">
        <v>4237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0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1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2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3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4"/>
        <v/>
      </c>
    </row>
    <row r="116" spans="1:49" x14ac:dyDescent="0.3">
      <c r="A116">
        <v>112</v>
      </c>
      <c r="B116" t="s">
        <v>4312</v>
      </c>
      <c r="C116" t="s">
        <v>4313</v>
      </c>
      <c r="D116" t="s">
        <v>4237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0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1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2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3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4"/>
        <v/>
      </c>
    </row>
    <row r="117" spans="1:49" x14ac:dyDescent="0.3">
      <c r="A117">
        <v>113</v>
      </c>
      <c r="B117" t="s">
        <v>4314</v>
      </c>
      <c r="C117" t="s">
        <v>4315</v>
      </c>
      <c r="D117" t="s">
        <v>4237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0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1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2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3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4"/>
        <v/>
      </c>
    </row>
  </sheetData>
  <autoFilter ref="A4:AW7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E6:AW117 A6:D77">
    <cfRule type="expression" dxfId="327" priority="46">
      <formula>MOD(ROW(),2)=0</formula>
    </cfRule>
  </conditionalFormatting>
  <conditionalFormatting sqref="G5:G117">
    <cfRule type="expression" dxfId="326" priority="6">
      <formula>G5="No"</formula>
    </cfRule>
    <cfRule type="expression" dxfId="325" priority="5">
      <formula>G5="Yes"</formula>
    </cfRule>
  </conditionalFormatting>
  <conditionalFormatting sqref="H5:H117">
    <cfRule type="expression" dxfId="324" priority="7">
      <formula>H5="Yes"</formula>
    </cfRule>
  </conditionalFormatting>
  <conditionalFormatting sqref="J5:J117">
    <cfRule type="expression" dxfId="323" priority="8">
      <formula>J5="Yes"</formula>
    </cfRule>
    <cfRule type="expression" dxfId="322" priority="9">
      <formula>J5="No"</formula>
    </cfRule>
  </conditionalFormatting>
  <conditionalFormatting sqref="M5:M117">
    <cfRule type="expression" dxfId="321" priority="2">
      <formula>M5="❌ Disc"</formula>
    </cfRule>
    <cfRule type="expression" dxfId="320" priority="3">
      <formula>M5="⚠ Missing"</formula>
    </cfRule>
    <cfRule type="expression" dxfId="319" priority="4">
      <formula>M5="⚠ Check"</formula>
    </cfRule>
    <cfRule type="expression" dxfId="318" priority="1">
      <formula>M5="✓ OK"</formula>
    </cfRule>
  </conditionalFormatting>
  <conditionalFormatting sqref="P5:P117">
    <cfRule type="expression" dxfId="317" priority="14">
      <formula>P5="Yes"</formula>
    </cfRule>
    <cfRule type="expression" dxfId="316" priority="15">
      <formula>P5="No"</formula>
    </cfRule>
  </conditionalFormatting>
  <conditionalFormatting sqref="Q5:Q117">
    <cfRule type="expression" dxfId="315" priority="16">
      <formula>Q5="Yes"</formula>
    </cfRule>
  </conditionalFormatting>
  <conditionalFormatting sqref="S5:S117">
    <cfRule type="expression" dxfId="314" priority="17">
      <formula>S5="Yes"</formula>
    </cfRule>
    <cfRule type="expression" dxfId="313" priority="18">
      <formula>S5="No"</formula>
    </cfRule>
  </conditionalFormatting>
  <conditionalFormatting sqref="V5:V117">
    <cfRule type="expression" dxfId="312" priority="10">
      <formula>V5="✓ OK"</formula>
    </cfRule>
    <cfRule type="expression" dxfId="311" priority="11">
      <formula>V5="❌ Disc"</formula>
    </cfRule>
    <cfRule type="expression" dxfId="310" priority="12">
      <formula>V5="⚠ Missing"</formula>
    </cfRule>
    <cfRule type="expression" dxfId="309" priority="13">
      <formula>V5="⚠ Check"</formula>
    </cfRule>
  </conditionalFormatting>
  <conditionalFormatting sqref="Y5:Y117">
    <cfRule type="expression" dxfId="308" priority="24">
      <formula>Y5="No"</formula>
    </cfRule>
    <cfRule type="expression" dxfId="307" priority="23">
      <formula>Y5="Yes"</formula>
    </cfRule>
  </conditionalFormatting>
  <conditionalFormatting sqref="Z5:Z117">
    <cfRule type="expression" dxfId="306" priority="25">
      <formula>Z5="Yes"</formula>
    </cfRule>
  </conditionalFormatting>
  <conditionalFormatting sqref="AB5:AB117">
    <cfRule type="expression" dxfId="305" priority="26">
      <formula>AB5="Yes"</formula>
    </cfRule>
    <cfRule type="expression" dxfId="304" priority="27">
      <formula>AB5="No"</formula>
    </cfRule>
  </conditionalFormatting>
  <conditionalFormatting sqref="AE5:AE117">
    <cfRule type="expression" dxfId="303" priority="20">
      <formula>AE5="❌ Disc"</formula>
    </cfRule>
    <cfRule type="expression" dxfId="302" priority="21">
      <formula>AE5="⚠ Missing"</formula>
    </cfRule>
    <cfRule type="expression" dxfId="301" priority="22">
      <formula>AE5="⚠ Check"</formula>
    </cfRule>
    <cfRule type="expression" dxfId="300" priority="19">
      <formula>AE5="✓ OK"</formula>
    </cfRule>
  </conditionalFormatting>
  <conditionalFormatting sqref="AH5:AH117">
    <cfRule type="expression" dxfId="299" priority="32">
      <formula>AH5="Yes"</formula>
    </cfRule>
    <cfRule type="expression" dxfId="298" priority="33">
      <formula>AH5="No"</formula>
    </cfRule>
  </conditionalFormatting>
  <conditionalFormatting sqref="AI5:AI117">
    <cfRule type="expression" dxfId="297" priority="34">
      <formula>AI5="Yes"</formula>
    </cfRule>
  </conditionalFormatting>
  <conditionalFormatting sqref="AK5:AK117">
    <cfRule type="expression" dxfId="296" priority="35">
      <formula>AK5="Yes"</formula>
    </cfRule>
    <cfRule type="expression" dxfId="295" priority="36">
      <formula>AK5="No"</formula>
    </cfRule>
  </conditionalFormatting>
  <conditionalFormatting sqref="AN5:AN117">
    <cfRule type="expression" dxfId="294" priority="29">
      <formula>AN5="❌ Disc"</formula>
    </cfRule>
    <cfRule type="expression" dxfId="293" priority="30">
      <formula>AN5="⚠ Missing"</formula>
    </cfRule>
    <cfRule type="expression" dxfId="292" priority="31">
      <formula>AN5="⚠ Check"</formula>
    </cfRule>
    <cfRule type="expression" dxfId="291" priority="28">
      <formula>AN5="✓ OK"</formula>
    </cfRule>
  </conditionalFormatting>
  <conditionalFormatting sqref="AQ5:AQ117">
    <cfRule type="expression" dxfId="290" priority="42">
      <formula>AQ5="No"</formula>
    </cfRule>
    <cfRule type="expression" dxfId="289" priority="41">
      <formula>AQ5="Yes"</formula>
    </cfRule>
  </conditionalFormatting>
  <conditionalFormatting sqref="AR5:AR117">
    <cfRule type="expression" dxfId="288" priority="43">
      <formula>AR5="Yes"</formula>
    </cfRule>
  </conditionalFormatting>
  <conditionalFormatting sqref="AT5:AT117">
    <cfRule type="expression" dxfId="287" priority="44">
      <formula>AT5="Yes"</formula>
    </cfRule>
    <cfRule type="expression" dxfId="286" priority="45">
      <formula>AT5="No"</formula>
    </cfRule>
  </conditionalFormatting>
  <conditionalFormatting sqref="AW5:AW117">
    <cfRule type="expression" dxfId="285" priority="37">
      <formula>AW5="✓ OK"</formula>
    </cfRule>
    <cfRule type="expression" dxfId="284" priority="38">
      <formula>AW5="❌ Disc"</formula>
    </cfRule>
    <cfRule type="expression" dxfId="283" priority="39">
      <formula>AW5="⚠ Missing"</formula>
    </cfRule>
    <cfRule type="expression" dxfId="282" priority="40">
      <formula>AW5="⚠ Check"</formula>
    </cfRule>
  </conditionalFormatting>
  <dataValidations count="2">
    <dataValidation type="list" allowBlank="1" sqref="AQ5:AR117 AK5:AK117 AH5:AI117 AB5:AB117 Y5:Z117 S5:S117 P5:Q117 J5:J117 G5:H117 AT5:AT117" xr:uid="{00000000-0002-0000-0600-000000000000}">
      <formula1>"Yes,No"</formula1>
    </dataValidation>
    <dataValidation type="list" allowBlank="1" sqref="AS5:AS117 AJ5:AJ117 AA5:AA117 R5:R117 I5:I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H16" sqref="H1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4316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3" t="s">
        <v>4317</v>
      </c>
      <c r="C5" s="44" t="s">
        <v>4318</v>
      </c>
      <c r="D5" s="42" t="s">
        <v>4319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6226</v>
      </c>
      <c r="J5" s="26" t="s">
        <v>6223</v>
      </c>
      <c r="K5" s="27" t="s">
        <v>6231</v>
      </c>
      <c r="L5" s="28" t="s">
        <v>6224</v>
      </c>
      <c r="M5" s="29" t="str">
        <f t="shared" ref="M5:M15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4320</v>
      </c>
      <c r="C6" s="25" t="s">
        <v>4321</v>
      </c>
      <c r="D6" s="23" t="s">
        <v>4319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4322</v>
      </c>
      <c r="C7" s="44" t="s">
        <v>4323</v>
      </c>
      <c r="D7" s="42" t="s">
        <v>4319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4324</v>
      </c>
      <c r="C8" s="44" t="s">
        <v>4325</v>
      </c>
      <c r="D8" s="42" t="s">
        <v>4319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4326</v>
      </c>
      <c r="C9" s="25" t="s">
        <v>4327</v>
      </c>
      <c r="D9" s="23" t="s">
        <v>4319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24" t="s">
        <v>4328</v>
      </c>
      <c r="C10" s="25" t="s">
        <v>4329</v>
      </c>
      <c r="D10" s="23" t="s">
        <v>4319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4330</v>
      </c>
      <c r="C11" s="44" t="s">
        <v>4331</v>
      </c>
      <c r="D11" s="42" t="s">
        <v>4319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4332</v>
      </c>
      <c r="C12" s="25" t="s">
        <v>4333</v>
      </c>
      <c r="D12" s="23" t="s">
        <v>4319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4334</v>
      </c>
      <c r="C13" s="44" t="s">
        <v>4335</v>
      </c>
      <c r="D13" s="42" t="s">
        <v>4319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4336</v>
      </c>
      <c r="C14" s="44" t="s">
        <v>4337</v>
      </c>
      <c r="D14" s="42" t="s">
        <v>4319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4338</v>
      </c>
      <c r="C15" s="25" t="s">
        <v>4339</v>
      </c>
      <c r="D15" s="23" t="s">
        <v>4319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6226</v>
      </c>
      <c r="J15" s="26" t="s">
        <v>6223</v>
      </c>
      <c r="K15" s="27" t="s">
        <v>6231</v>
      </c>
      <c r="L15" s="28" t="s">
        <v>6224</v>
      </c>
      <c r="M15" s="29" t="str">
        <f t="shared" si="0"/>
        <v>⚠ Check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x14ac:dyDescent="0.3">
      <c r="A16" s="45">
        <v>12</v>
      </c>
      <c r="B16" s="24" t="s">
        <v>4340</v>
      </c>
      <c r="C16" s="25" t="s">
        <v>4341</v>
      </c>
      <c r="D16" s="23" t="s">
        <v>4319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ref="M16" si="5">IF(E16="","",IF(H16="Yes","❌ Disc",IF(G16="No","⚠ Missing",IF(J16="Yes","✓ OK","⚠ Check"))))</f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ref="V16" si="6">IF(N16="","",IF(Q16="Yes","❌ Disc",IF(P16="No","⚠ Missing",IF(S16="Yes","✓ OK","⚠ Check"))))</f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ref="AE16" si="7">IF(W16="","",IF(Z16="Yes","❌ Disc",IF(Y16="No","⚠ Missing",IF(AB16="Yes","✓ OK","⚠ Check"))))</f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ref="AN16" si="8">IF(AF16="","",IF(AI16="Yes","❌ Disc",IF(AH16="No","⚠ Missing",IF(AK16="Yes","✓ OK","⚠ Check"))))</f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ref="AW16" si="9">IF(AO16="","",IF(AR16="Yes","❌ Disc",IF(AQ16="No","⚠ Missing",IF(AT16="Yes","✓ OK","⚠ Check"))))</f>
        <v/>
      </c>
    </row>
  </sheetData>
  <autoFilter ref="A4:AW15" xr:uid="{00000000-0009-0000-0000-000007000000}"/>
  <sortState xmlns:xlrd2="http://schemas.microsoft.com/office/spreadsheetml/2017/richdata2" ref="B5:D16">
    <sortCondition ref="B5:B16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">
    <cfRule type="expression" dxfId="281" priority="46">
      <formula>MOD(ROW(),2)=0</formula>
    </cfRule>
  </conditionalFormatting>
  <conditionalFormatting sqref="G5:G16">
    <cfRule type="expression" dxfId="280" priority="6">
      <formula>G5="No"</formula>
    </cfRule>
    <cfRule type="expression" dxfId="279" priority="5">
      <formula>G5="Yes"</formula>
    </cfRule>
  </conditionalFormatting>
  <conditionalFormatting sqref="H5:H16">
    <cfRule type="expression" dxfId="278" priority="7">
      <formula>H5="Yes"</formula>
    </cfRule>
  </conditionalFormatting>
  <conditionalFormatting sqref="J5:J16">
    <cfRule type="expression" dxfId="277" priority="8">
      <formula>J5="Yes"</formula>
    </cfRule>
    <cfRule type="expression" dxfId="276" priority="9">
      <formula>J5="No"</formula>
    </cfRule>
  </conditionalFormatting>
  <conditionalFormatting sqref="M5:M16">
    <cfRule type="expression" dxfId="275" priority="2">
      <formula>M5="❌ Disc"</formula>
    </cfRule>
    <cfRule type="expression" dxfId="274" priority="3">
      <formula>M5="⚠ Missing"</formula>
    </cfRule>
    <cfRule type="expression" dxfId="273" priority="4">
      <formula>M5="⚠ Check"</formula>
    </cfRule>
    <cfRule type="expression" dxfId="272" priority="1">
      <formula>M5="✓ OK"</formula>
    </cfRule>
  </conditionalFormatting>
  <conditionalFormatting sqref="P5:P16">
    <cfRule type="expression" dxfId="271" priority="14">
      <formula>P5="Yes"</formula>
    </cfRule>
    <cfRule type="expression" dxfId="270" priority="15">
      <formula>P5="No"</formula>
    </cfRule>
  </conditionalFormatting>
  <conditionalFormatting sqref="Q5:Q16">
    <cfRule type="expression" dxfId="269" priority="16">
      <formula>Q5="Yes"</formula>
    </cfRule>
  </conditionalFormatting>
  <conditionalFormatting sqref="S5:S16">
    <cfRule type="expression" dxfId="268" priority="17">
      <formula>S5="Yes"</formula>
    </cfRule>
    <cfRule type="expression" dxfId="267" priority="18">
      <formula>S5="No"</formula>
    </cfRule>
  </conditionalFormatting>
  <conditionalFormatting sqref="V5:V16">
    <cfRule type="expression" dxfId="266" priority="10">
      <formula>V5="✓ OK"</formula>
    </cfRule>
    <cfRule type="expression" dxfId="265" priority="11">
      <formula>V5="❌ Disc"</formula>
    </cfRule>
    <cfRule type="expression" dxfId="264" priority="12">
      <formula>V5="⚠ Missing"</formula>
    </cfRule>
    <cfRule type="expression" dxfId="263" priority="13">
      <formula>V5="⚠ Check"</formula>
    </cfRule>
  </conditionalFormatting>
  <conditionalFormatting sqref="Y5:Y16">
    <cfRule type="expression" dxfId="262" priority="24">
      <formula>Y5="No"</formula>
    </cfRule>
    <cfRule type="expression" dxfId="261" priority="23">
      <formula>Y5="Yes"</formula>
    </cfRule>
  </conditionalFormatting>
  <conditionalFormatting sqref="Z5:Z16">
    <cfRule type="expression" dxfId="260" priority="25">
      <formula>Z5="Yes"</formula>
    </cfRule>
  </conditionalFormatting>
  <conditionalFormatting sqref="AB5:AB16">
    <cfRule type="expression" dxfId="259" priority="26">
      <formula>AB5="Yes"</formula>
    </cfRule>
    <cfRule type="expression" dxfId="258" priority="27">
      <formula>AB5="No"</formula>
    </cfRule>
  </conditionalFormatting>
  <conditionalFormatting sqref="AE5:AE16">
    <cfRule type="expression" dxfId="257" priority="20">
      <formula>AE5="❌ Disc"</formula>
    </cfRule>
    <cfRule type="expression" dxfId="256" priority="21">
      <formula>AE5="⚠ Missing"</formula>
    </cfRule>
    <cfRule type="expression" dxfId="255" priority="22">
      <formula>AE5="⚠ Check"</formula>
    </cfRule>
    <cfRule type="expression" dxfId="254" priority="19">
      <formula>AE5="✓ OK"</formula>
    </cfRule>
  </conditionalFormatting>
  <conditionalFormatting sqref="AH5:AH16">
    <cfRule type="expression" dxfId="253" priority="32">
      <formula>AH5="Yes"</formula>
    </cfRule>
    <cfRule type="expression" dxfId="252" priority="33">
      <formula>AH5="No"</formula>
    </cfRule>
  </conditionalFormatting>
  <conditionalFormatting sqref="AI5:AI16">
    <cfRule type="expression" dxfId="251" priority="34">
      <formula>AI5="Yes"</formula>
    </cfRule>
  </conditionalFormatting>
  <conditionalFormatting sqref="AK5:AK16">
    <cfRule type="expression" dxfId="250" priority="35">
      <formula>AK5="Yes"</formula>
    </cfRule>
    <cfRule type="expression" dxfId="249" priority="36">
      <formula>AK5="No"</formula>
    </cfRule>
  </conditionalFormatting>
  <conditionalFormatting sqref="AN5:AN16">
    <cfRule type="expression" dxfId="248" priority="29">
      <formula>AN5="❌ Disc"</formula>
    </cfRule>
    <cfRule type="expression" dxfId="247" priority="30">
      <formula>AN5="⚠ Missing"</formula>
    </cfRule>
    <cfRule type="expression" dxfId="246" priority="31">
      <formula>AN5="⚠ Check"</formula>
    </cfRule>
    <cfRule type="expression" dxfId="245" priority="28">
      <formula>AN5="✓ OK"</formula>
    </cfRule>
  </conditionalFormatting>
  <conditionalFormatting sqref="AQ5:AQ16">
    <cfRule type="expression" dxfId="244" priority="42">
      <formula>AQ5="No"</formula>
    </cfRule>
    <cfRule type="expression" dxfId="243" priority="41">
      <formula>AQ5="Yes"</formula>
    </cfRule>
  </conditionalFormatting>
  <conditionalFormatting sqref="AR5:AR16">
    <cfRule type="expression" dxfId="242" priority="43">
      <formula>AR5="Yes"</formula>
    </cfRule>
  </conditionalFormatting>
  <conditionalFormatting sqref="AT5:AT16">
    <cfRule type="expression" dxfId="241" priority="44">
      <formula>AT5="Yes"</formula>
    </cfRule>
    <cfRule type="expression" dxfId="240" priority="45">
      <formula>AT5="No"</formula>
    </cfRule>
  </conditionalFormatting>
  <conditionalFormatting sqref="AW5:AW16">
    <cfRule type="expression" dxfId="239" priority="37">
      <formula>AW5="✓ OK"</formula>
    </cfRule>
    <cfRule type="expression" dxfId="238" priority="38">
      <formula>AW5="❌ Disc"</formula>
    </cfRule>
    <cfRule type="expression" dxfId="237" priority="39">
      <formula>AW5="⚠ Missing"</formula>
    </cfRule>
    <cfRule type="expression" dxfId="236" priority="40">
      <formula>AW5="⚠ Check"</formula>
    </cfRule>
  </conditionalFormatting>
  <dataValidations count="2">
    <dataValidation type="list" allowBlank="1" sqref="AT5:AT16 AQ5:AR16 AK5:AK16 AH5:AI16 AB5:AB16 Y5:Z16 S5:S16 P5:Q16 G5:H16 J5:J16" xr:uid="{00000000-0002-0000-0700-000000000000}">
      <formula1>"Yes,No"</formula1>
    </dataValidation>
    <dataValidation type="list" allowBlank="1" sqref="R5:R16 AS5:AS16 AJ5:AJ16 AA5:AA16 I5:I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15" activePane="bottomRight" state="frozen"/>
      <selection pane="topRight" activeCell="AU16" sqref="AU16"/>
      <selection pane="bottomLeft" activeCell="AU16" sqref="AU16"/>
      <selection pane="bottomRight" activeCell="G27" sqref="G27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4342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4343</v>
      </c>
      <c r="C5" s="25" t="s">
        <v>4344</v>
      </c>
      <c r="D5" s="23" t="s">
        <v>4345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2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4346</v>
      </c>
      <c r="C6" s="44" t="s">
        <v>4347</v>
      </c>
      <c r="D6" s="42" t="s">
        <v>4345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4348</v>
      </c>
      <c r="C7" s="25" t="s">
        <v>4349</v>
      </c>
      <c r="D7" s="23" t="s">
        <v>4345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4350</v>
      </c>
      <c r="C8" s="44" t="s">
        <v>4351</v>
      </c>
      <c r="D8" s="42" t="s">
        <v>4345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4352</v>
      </c>
      <c r="C9" s="25" t="s">
        <v>4353</v>
      </c>
      <c r="D9" s="23" t="s">
        <v>4345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4354</v>
      </c>
      <c r="C10" s="44" t="s">
        <v>4355</v>
      </c>
      <c r="D10" s="42" t="s">
        <v>4345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4356</v>
      </c>
      <c r="C11" s="25" t="s">
        <v>4357</v>
      </c>
      <c r="D11" s="23" t="s">
        <v>4345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4358</v>
      </c>
      <c r="C12" s="44" t="s">
        <v>4359</v>
      </c>
      <c r="D12" s="42" t="s">
        <v>4345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4360</v>
      </c>
      <c r="C13" s="25" t="s">
        <v>4361</v>
      </c>
      <c r="D13" s="23" t="s">
        <v>4345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4362</v>
      </c>
      <c r="C14" s="44" t="s">
        <v>4363</v>
      </c>
      <c r="D14" s="42" t="s">
        <v>4345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4364</v>
      </c>
      <c r="C15" s="25" t="s">
        <v>4365</v>
      </c>
      <c r="D15" s="23" t="s">
        <v>4345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4366</v>
      </c>
      <c r="C16" s="44" t="s">
        <v>4367</v>
      </c>
      <c r="D16" s="42" t="s">
        <v>4345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4368</v>
      </c>
      <c r="C17" s="25" t="s">
        <v>4369</v>
      </c>
      <c r="D17" s="23" t="s">
        <v>4345</v>
      </c>
      <c r="E17" s="46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4370</v>
      </c>
      <c r="C18" s="44" t="s">
        <v>4371</v>
      </c>
      <c r="D18" s="42" t="s">
        <v>4345</v>
      </c>
      <c r="E18" s="46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4372</v>
      </c>
      <c r="C19" s="25" t="s">
        <v>4373</v>
      </c>
      <c r="D19" s="23" t="s">
        <v>4345</v>
      </c>
      <c r="E19" s="46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4374</v>
      </c>
      <c r="C20" s="44" t="s">
        <v>4375</v>
      </c>
      <c r="D20" s="42" t="s">
        <v>4345</v>
      </c>
      <c r="E20" s="46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4376</v>
      </c>
      <c r="C21" s="25" t="s">
        <v>4377</v>
      </c>
      <c r="D21" s="23" t="s">
        <v>4345</v>
      </c>
      <c r="E21" s="46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4378</v>
      </c>
      <c r="C22" s="44" t="s">
        <v>4379</v>
      </c>
      <c r="D22" s="42" t="s">
        <v>4380</v>
      </c>
      <c r="E22" s="46">
        <v>46125</v>
      </c>
      <c r="F22" s="26" t="s">
        <v>6222</v>
      </c>
      <c r="G22" s="26" t="s">
        <v>6223</v>
      </c>
      <c r="H22" s="26" t="s">
        <v>6223</v>
      </c>
      <c r="I22" s="26" t="s">
        <v>6228</v>
      </c>
      <c r="J22" s="26" t="s">
        <v>6223</v>
      </c>
      <c r="K22" s="27"/>
      <c r="L22" s="28" t="s">
        <v>6224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4381</v>
      </c>
      <c r="C23" s="25" t="s">
        <v>4382</v>
      </c>
      <c r="D23" s="23" t="s">
        <v>4380</v>
      </c>
      <c r="E23" s="46">
        <v>46125</v>
      </c>
      <c r="F23" s="26" t="s">
        <v>6222</v>
      </c>
      <c r="G23" s="26" t="s">
        <v>6223</v>
      </c>
      <c r="H23" s="26" t="s">
        <v>6223</v>
      </c>
      <c r="I23" s="26" t="s">
        <v>6228</v>
      </c>
      <c r="J23" s="26" t="s">
        <v>6223</v>
      </c>
      <c r="K23" s="27"/>
      <c r="L23" s="28" t="s">
        <v>6224</v>
      </c>
      <c r="M23" s="29" t="str">
        <f t="shared" si="0"/>
        <v>⚠ Missing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4383</v>
      </c>
      <c r="C24" s="44" t="s">
        <v>4384</v>
      </c>
      <c r="D24" s="42" t="s">
        <v>4380</v>
      </c>
      <c r="E24" s="46">
        <v>46125</v>
      </c>
      <c r="F24" s="26" t="s">
        <v>6222</v>
      </c>
      <c r="G24" s="26" t="s">
        <v>6223</v>
      </c>
      <c r="H24" s="26" t="s">
        <v>6223</v>
      </c>
      <c r="I24" s="26" t="s">
        <v>6228</v>
      </c>
      <c r="J24" s="26" t="s">
        <v>6223</v>
      </c>
      <c r="K24" s="27"/>
      <c r="L24" s="28" t="s">
        <v>6224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4385</v>
      </c>
      <c r="C25" s="25" t="s">
        <v>4386</v>
      </c>
      <c r="D25" s="23" t="s">
        <v>4380</v>
      </c>
      <c r="E25" s="46">
        <v>46125</v>
      </c>
      <c r="F25" s="26" t="s">
        <v>6222</v>
      </c>
      <c r="G25" s="26" t="s">
        <v>6223</v>
      </c>
      <c r="H25" s="26" t="s">
        <v>6223</v>
      </c>
      <c r="I25" s="26" t="s">
        <v>6228</v>
      </c>
      <c r="J25" s="26" t="s">
        <v>6223</v>
      </c>
      <c r="K25" s="27"/>
      <c r="L25" s="28" t="s">
        <v>6224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4387</v>
      </c>
      <c r="C26" s="44" t="s">
        <v>4388</v>
      </c>
      <c r="D26" s="42" t="s">
        <v>4380</v>
      </c>
      <c r="E26" s="46">
        <v>46125</v>
      </c>
      <c r="F26" s="26" t="s">
        <v>6222</v>
      </c>
      <c r="G26" s="26" t="s">
        <v>6223</v>
      </c>
      <c r="H26" s="26" t="s">
        <v>6223</v>
      </c>
      <c r="I26" s="26" t="s">
        <v>6228</v>
      </c>
      <c r="J26" s="26" t="s">
        <v>6223</v>
      </c>
      <c r="K26" s="27"/>
      <c r="L26" s="28" t="s">
        <v>6224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235" priority="46">
      <formula>MOD(ROW(),2)=0</formula>
    </cfRule>
  </conditionalFormatting>
  <conditionalFormatting sqref="G5:G26">
    <cfRule type="expression" dxfId="234" priority="6">
      <formula>G5="No"</formula>
    </cfRule>
    <cfRule type="expression" dxfId="233" priority="5">
      <formula>G5="Yes"</formula>
    </cfRule>
  </conditionalFormatting>
  <conditionalFormatting sqref="H5:H26">
    <cfRule type="expression" dxfId="232" priority="7">
      <formula>H5="Yes"</formula>
    </cfRule>
  </conditionalFormatting>
  <conditionalFormatting sqref="J5:J26">
    <cfRule type="expression" dxfId="231" priority="8">
      <formula>J5="Yes"</formula>
    </cfRule>
    <cfRule type="expression" dxfId="230" priority="9">
      <formula>J5="No"</formula>
    </cfRule>
  </conditionalFormatting>
  <conditionalFormatting sqref="M5:M26">
    <cfRule type="expression" dxfId="229" priority="2">
      <formula>M5="❌ Disc"</formula>
    </cfRule>
    <cfRule type="expression" dxfId="228" priority="3">
      <formula>M5="⚠ Missing"</formula>
    </cfRule>
    <cfRule type="expression" dxfId="227" priority="4">
      <formula>M5="⚠ Check"</formula>
    </cfRule>
    <cfRule type="expression" dxfId="226" priority="1">
      <formula>M5="✓ OK"</formula>
    </cfRule>
  </conditionalFormatting>
  <conditionalFormatting sqref="P5:P26">
    <cfRule type="expression" dxfId="225" priority="14">
      <formula>P5="Yes"</formula>
    </cfRule>
    <cfRule type="expression" dxfId="224" priority="15">
      <formula>P5="No"</formula>
    </cfRule>
  </conditionalFormatting>
  <conditionalFormatting sqref="Q5:Q26">
    <cfRule type="expression" dxfId="223" priority="16">
      <formula>Q5="Yes"</formula>
    </cfRule>
  </conditionalFormatting>
  <conditionalFormatting sqref="S5:S26">
    <cfRule type="expression" dxfId="222" priority="17">
      <formula>S5="Yes"</formula>
    </cfRule>
    <cfRule type="expression" dxfId="221" priority="18">
      <formula>S5="No"</formula>
    </cfRule>
  </conditionalFormatting>
  <conditionalFormatting sqref="V5:V26">
    <cfRule type="expression" dxfId="220" priority="10">
      <formula>V5="✓ OK"</formula>
    </cfRule>
    <cfRule type="expression" dxfId="219" priority="11">
      <formula>V5="❌ Disc"</formula>
    </cfRule>
    <cfRule type="expression" dxfId="218" priority="12">
      <formula>V5="⚠ Missing"</formula>
    </cfRule>
    <cfRule type="expression" dxfId="217" priority="13">
      <formula>V5="⚠ Check"</formula>
    </cfRule>
  </conditionalFormatting>
  <conditionalFormatting sqref="Y5:Y26">
    <cfRule type="expression" dxfId="216" priority="24">
      <formula>Y5="No"</formula>
    </cfRule>
    <cfRule type="expression" dxfId="215" priority="23">
      <formula>Y5="Yes"</formula>
    </cfRule>
  </conditionalFormatting>
  <conditionalFormatting sqref="Z5:Z26">
    <cfRule type="expression" dxfId="214" priority="25">
      <formula>Z5="Yes"</formula>
    </cfRule>
  </conditionalFormatting>
  <conditionalFormatting sqref="AB5:AB26">
    <cfRule type="expression" dxfId="213" priority="26">
      <formula>AB5="Yes"</formula>
    </cfRule>
    <cfRule type="expression" dxfId="212" priority="27">
      <formula>AB5="No"</formula>
    </cfRule>
  </conditionalFormatting>
  <conditionalFormatting sqref="AE5:AE26">
    <cfRule type="expression" dxfId="211" priority="20">
      <formula>AE5="❌ Disc"</formula>
    </cfRule>
    <cfRule type="expression" dxfId="210" priority="21">
      <formula>AE5="⚠ Missing"</formula>
    </cfRule>
    <cfRule type="expression" dxfId="209" priority="22">
      <formula>AE5="⚠ Check"</formula>
    </cfRule>
    <cfRule type="expression" dxfId="208" priority="19">
      <formula>AE5="✓ OK"</formula>
    </cfRule>
  </conditionalFormatting>
  <conditionalFormatting sqref="AH5:AH26">
    <cfRule type="expression" dxfId="207" priority="32">
      <formula>AH5="Yes"</formula>
    </cfRule>
    <cfRule type="expression" dxfId="206" priority="33">
      <formula>AH5="No"</formula>
    </cfRule>
  </conditionalFormatting>
  <conditionalFormatting sqref="AI5:AI26">
    <cfRule type="expression" dxfId="205" priority="34">
      <formula>AI5="Yes"</formula>
    </cfRule>
  </conditionalFormatting>
  <conditionalFormatting sqref="AK5:AK26">
    <cfRule type="expression" dxfId="204" priority="35">
      <formula>AK5="Yes"</formula>
    </cfRule>
    <cfRule type="expression" dxfId="203" priority="36">
      <formula>AK5="No"</formula>
    </cfRule>
  </conditionalFormatting>
  <conditionalFormatting sqref="AN5:AN26">
    <cfRule type="expression" dxfId="202" priority="29">
      <formula>AN5="❌ Disc"</formula>
    </cfRule>
    <cfRule type="expression" dxfId="201" priority="30">
      <formula>AN5="⚠ Missing"</formula>
    </cfRule>
    <cfRule type="expression" dxfId="200" priority="31">
      <formula>AN5="⚠ Check"</formula>
    </cfRule>
    <cfRule type="expression" dxfId="199" priority="28">
      <formula>AN5="✓ OK"</formula>
    </cfRule>
  </conditionalFormatting>
  <conditionalFormatting sqref="AQ5:AQ26">
    <cfRule type="expression" dxfId="198" priority="42">
      <formula>AQ5="No"</formula>
    </cfRule>
    <cfRule type="expression" dxfId="197" priority="41">
      <formula>AQ5="Yes"</formula>
    </cfRule>
  </conditionalFormatting>
  <conditionalFormatting sqref="AR5:AR26">
    <cfRule type="expression" dxfId="196" priority="43">
      <formula>AR5="Yes"</formula>
    </cfRule>
  </conditionalFormatting>
  <conditionalFormatting sqref="AT5:AT26">
    <cfRule type="expression" dxfId="195" priority="44">
      <formula>AT5="Yes"</formula>
    </cfRule>
    <cfRule type="expression" dxfId="194" priority="45">
      <formula>AT5="No"</formula>
    </cfRule>
  </conditionalFormatting>
  <conditionalFormatting sqref="AW5:AW26">
    <cfRule type="expression" dxfId="193" priority="37">
      <formula>AW5="✓ OK"</formula>
    </cfRule>
    <cfRule type="expression" dxfId="192" priority="38">
      <formula>AW5="❌ Disc"</formula>
    </cfRule>
    <cfRule type="expression" dxfId="191" priority="39">
      <formula>AW5="⚠ Missing"</formula>
    </cfRule>
    <cfRule type="expression" dxfId="190" priority="40">
      <formula>AW5="⚠ Check"</formula>
    </cfRule>
  </conditionalFormatting>
  <dataValidations count="2">
    <dataValidation type="list" allowBlank="1" sqref="AT5:AT26 AQ5:AR26 AK5:AK26 AH5:AI26 AB5:AB26 Y5:Z26 S5:S26 P5:Q26 G5:H26 J5:J26" xr:uid="{00000000-0002-0000-0800-000000000000}">
      <formula1>"Yes,No"</formula1>
    </dataValidation>
    <dataValidation type="list" allowBlank="1" sqref="R5:R26 AS5:AS26 AJ5:AJ26 AA5:AA26 I5:I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E28" activePane="bottomRight" state="frozen"/>
      <selection pane="topRight" activeCell="AU16" sqref="AU16"/>
      <selection pane="bottomLeft" activeCell="AU16" sqref="AU16"/>
      <selection pane="bottomRight" activeCell="G40" sqref="G40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4389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4390</v>
      </c>
      <c r="C5" s="25" t="s">
        <v>4391</v>
      </c>
      <c r="D5" s="23" t="s">
        <v>935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39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4392</v>
      </c>
      <c r="C6" s="44" t="s">
        <v>4393</v>
      </c>
      <c r="D6" s="42" t="s">
        <v>935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4394</v>
      </c>
      <c r="C7" s="25" t="s">
        <v>4395</v>
      </c>
      <c r="D7" s="23" t="s">
        <v>935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4396</v>
      </c>
      <c r="C8" s="44" t="s">
        <v>4397</v>
      </c>
      <c r="D8" s="42" t="s">
        <v>935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4398</v>
      </c>
      <c r="C9" s="25" t="s">
        <v>4399</v>
      </c>
      <c r="D9" s="23" t="s">
        <v>935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4400</v>
      </c>
      <c r="C10" s="44" t="s">
        <v>4401</v>
      </c>
      <c r="D10" s="42" t="s">
        <v>935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4402</v>
      </c>
      <c r="C11" s="25" t="s">
        <v>4403</v>
      </c>
      <c r="D11" s="23" t="s">
        <v>935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4404</v>
      </c>
      <c r="C12" s="44" t="s">
        <v>4405</v>
      </c>
      <c r="D12" s="42" t="s">
        <v>935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4406</v>
      </c>
      <c r="C13" s="25" t="s">
        <v>4407</v>
      </c>
      <c r="D13" s="23" t="s">
        <v>4319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4408</v>
      </c>
      <c r="C14" s="44" t="s">
        <v>4409</v>
      </c>
      <c r="D14" s="42" t="s">
        <v>4319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4410</v>
      </c>
      <c r="C15" s="25" t="s">
        <v>4411</v>
      </c>
      <c r="D15" s="23" t="s">
        <v>4319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4412</v>
      </c>
      <c r="C16" s="44" t="s">
        <v>4413</v>
      </c>
      <c r="D16" s="42" t="s">
        <v>4319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4414</v>
      </c>
      <c r="C17" s="25" t="s">
        <v>4415</v>
      </c>
      <c r="D17" s="23" t="s">
        <v>4319</v>
      </c>
      <c r="E17" s="46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4416</v>
      </c>
      <c r="C18" s="44" t="s">
        <v>4417</v>
      </c>
      <c r="D18" s="42" t="s">
        <v>4319</v>
      </c>
      <c r="E18" s="46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4418</v>
      </c>
      <c r="C19" s="25" t="s">
        <v>4419</v>
      </c>
      <c r="D19" s="23" t="s">
        <v>4319</v>
      </c>
      <c r="E19" s="46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4420</v>
      </c>
      <c r="C20" s="44" t="s">
        <v>4421</v>
      </c>
      <c r="D20" s="42" t="s">
        <v>4319</v>
      </c>
      <c r="E20" s="46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4422</v>
      </c>
      <c r="C21" s="25" t="s">
        <v>4423</v>
      </c>
      <c r="D21" s="23" t="s">
        <v>4319</v>
      </c>
      <c r="E21" s="46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4424</v>
      </c>
      <c r="C22" s="44" t="s">
        <v>4425</v>
      </c>
      <c r="D22" s="42" t="s">
        <v>4319</v>
      </c>
      <c r="E22" s="46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4426</v>
      </c>
      <c r="C23" s="25" t="s">
        <v>4427</v>
      </c>
      <c r="D23" s="23" t="s">
        <v>4319</v>
      </c>
      <c r="E23" s="46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4428</v>
      </c>
      <c r="C24" s="44" t="s">
        <v>4429</v>
      </c>
      <c r="D24" s="42" t="s">
        <v>4319</v>
      </c>
      <c r="E24" s="46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4430</v>
      </c>
      <c r="C25" s="25" t="s">
        <v>4431</v>
      </c>
      <c r="D25" s="23" t="s">
        <v>4319</v>
      </c>
      <c r="E25" s="46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4432</v>
      </c>
      <c r="C26" s="44" t="s">
        <v>4433</v>
      </c>
      <c r="D26" s="42" t="s">
        <v>4319</v>
      </c>
      <c r="E26" s="46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4434</v>
      </c>
      <c r="C27" s="25" t="s">
        <v>4435</v>
      </c>
      <c r="D27" s="23" t="s">
        <v>4319</v>
      </c>
      <c r="E27" s="46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4436</v>
      </c>
      <c r="C28" s="44" t="s">
        <v>4437</v>
      </c>
      <c r="D28" s="42" t="s">
        <v>4319</v>
      </c>
      <c r="E28" s="46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4438</v>
      </c>
      <c r="C29" s="25" t="s">
        <v>4439</v>
      </c>
      <c r="D29" s="23" t="s">
        <v>4319</v>
      </c>
      <c r="E29" s="46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4440</v>
      </c>
      <c r="C30" s="44" t="s">
        <v>4441</v>
      </c>
      <c r="D30" s="42" t="s">
        <v>4319</v>
      </c>
      <c r="E30" s="46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4442</v>
      </c>
      <c r="C31" s="25" t="s">
        <v>4443</v>
      </c>
      <c r="D31" s="23" t="s">
        <v>4319</v>
      </c>
      <c r="E31" s="46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4444</v>
      </c>
      <c r="C32" s="44" t="s">
        <v>4445</v>
      </c>
      <c r="D32" s="42" t="s">
        <v>4319</v>
      </c>
      <c r="E32" s="46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4446</v>
      </c>
      <c r="C33" s="25" t="s">
        <v>4447</v>
      </c>
      <c r="D33" s="23" t="s">
        <v>4319</v>
      </c>
      <c r="E33" s="46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4448</v>
      </c>
      <c r="C34" s="44" t="s">
        <v>4449</v>
      </c>
      <c r="D34" s="42" t="s">
        <v>4319</v>
      </c>
      <c r="E34" s="46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4450</v>
      </c>
      <c r="C35" s="25" t="s">
        <v>4451</v>
      </c>
      <c r="D35" s="23" t="s">
        <v>4319</v>
      </c>
      <c r="E35" s="46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4452</v>
      </c>
      <c r="C36" s="44" t="s">
        <v>4453</v>
      </c>
      <c r="D36" s="42" t="s">
        <v>4319</v>
      </c>
      <c r="E36" s="46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4454</v>
      </c>
      <c r="C37" s="25" t="s">
        <v>4455</v>
      </c>
      <c r="D37" s="23" t="s">
        <v>4319</v>
      </c>
      <c r="E37" s="46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4456</v>
      </c>
      <c r="C38" s="44" t="s">
        <v>4457</v>
      </c>
      <c r="D38" s="42" t="s">
        <v>4319</v>
      </c>
      <c r="E38" s="46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4458</v>
      </c>
      <c r="C39" s="25" t="s">
        <v>4459</v>
      </c>
      <c r="D39" s="23" t="s">
        <v>4319</v>
      </c>
      <c r="E39" s="46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189" priority="46">
      <formula>MOD(ROW(),2)=0</formula>
    </cfRule>
  </conditionalFormatting>
  <conditionalFormatting sqref="G5:G39">
    <cfRule type="expression" dxfId="188" priority="6">
      <formula>G5="No"</formula>
    </cfRule>
    <cfRule type="expression" dxfId="187" priority="5">
      <formula>G5="Yes"</formula>
    </cfRule>
  </conditionalFormatting>
  <conditionalFormatting sqref="H5:H39">
    <cfRule type="expression" dxfId="186" priority="7">
      <formula>H5="Yes"</formula>
    </cfRule>
  </conditionalFormatting>
  <conditionalFormatting sqref="J5:J39">
    <cfRule type="expression" dxfId="185" priority="8">
      <formula>J5="Yes"</formula>
    </cfRule>
    <cfRule type="expression" dxfId="184" priority="9">
      <formula>J5="No"</formula>
    </cfRule>
  </conditionalFormatting>
  <conditionalFormatting sqref="M5:M39">
    <cfRule type="expression" dxfId="183" priority="2">
      <formula>M5="❌ Disc"</formula>
    </cfRule>
    <cfRule type="expression" dxfId="182" priority="3">
      <formula>M5="⚠ Missing"</formula>
    </cfRule>
    <cfRule type="expression" dxfId="181" priority="4">
      <formula>M5="⚠ Check"</formula>
    </cfRule>
    <cfRule type="expression" dxfId="180" priority="1">
      <formula>M5="✓ OK"</formula>
    </cfRule>
  </conditionalFormatting>
  <conditionalFormatting sqref="P5:P39">
    <cfRule type="expression" dxfId="179" priority="14">
      <formula>P5="Yes"</formula>
    </cfRule>
    <cfRule type="expression" dxfId="178" priority="15">
      <formula>P5="No"</formula>
    </cfRule>
  </conditionalFormatting>
  <conditionalFormatting sqref="Q5:Q39">
    <cfRule type="expression" dxfId="177" priority="16">
      <formula>Q5="Yes"</formula>
    </cfRule>
  </conditionalFormatting>
  <conditionalFormatting sqref="S5:S39">
    <cfRule type="expression" dxfId="176" priority="17">
      <formula>S5="Yes"</formula>
    </cfRule>
    <cfRule type="expression" dxfId="175" priority="18">
      <formula>S5="No"</formula>
    </cfRule>
  </conditionalFormatting>
  <conditionalFormatting sqref="V5:V39">
    <cfRule type="expression" dxfId="174" priority="10">
      <formula>V5="✓ OK"</formula>
    </cfRule>
    <cfRule type="expression" dxfId="173" priority="11">
      <formula>V5="❌ Disc"</formula>
    </cfRule>
    <cfRule type="expression" dxfId="172" priority="12">
      <formula>V5="⚠ Missing"</formula>
    </cfRule>
    <cfRule type="expression" dxfId="171" priority="13">
      <formula>V5="⚠ Check"</formula>
    </cfRule>
  </conditionalFormatting>
  <conditionalFormatting sqref="Y5:Y39">
    <cfRule type="expression" dxfId="170" priority="24">
      <formula>Y5="No"</formula>
    </cfRule>
    <cfRule type="expression" dxfId="169" priority="23">
      <formula>Y5="Yes"</formula>
    </cfRule>
  </conditionalFormatting>
  <conditionalFormatting sqref="Z5:Z39">
    <cfRule type="expression" dxfId="168" priority="25">
      <formula>Z5="Yes"</formula>
    </cfRule>
  </conditionalFormatting>
  <conditionalFormatting sqref="AB5:AB39">
    <cfRule type="expression" dxfId="167" priority="26">
      <formula>AB5="Yes"</formula>
    </cfRule>
    <cfRule type="expression" dxfId="166" priority="27">
      <formula>AB5="No"</formula>
    </cfRule>
  </conditionalFormatting>
  <conditionalFormatting sqref="AE5:AE39">
    <cfRule type="expression" dxfId="165" priority="20">
      <formula>AE5="❌ Disc"</formula>
    </cfRule>
    <cfRule type="expression" dxfId="164" priority="21">
      <formula>AE5="⚠ Missing"</formula>
    </cfRule>
    <cfRule type="expression" dxfId="163" priority="22">
      <formula>AE5="⚠ Check"</formula>
    </cfRule>
    <cfRule type="expression" dxfId="162" priority="19">
      <formula>AE5="✓ OK"</formula>
    </cfRule>
  </conditionalFormatting>
  <conditionalFormatting sqref="AH5:AH39">
    <cfRule type="expression" dxfId="161" priority="32">
      <formula>AH5="Yes"</formula>
    </cfRule>
    <cfRule type="expression" dxfId="160" priority="33">
      <formula>AH5="No"</formula>
    </cfRule>
  </conditionalFormatting>
  <conditionalFormatting sqref="AI5:AI39">
    <cfRule type="expression" dxfId="159" priority="34">
      <formula>AI5="Yes"</formula>
    </cfRule>
  </conditionalFormatting>
  <conditionalFormatting sqref="AK5:AK39">
    <cfRule type="expression" dxfId="158" priority="35">
      <formula>AK5="Yes"</formula>
    </cfRule>
    <cfRule type="expression" dxfId="157" priority="36">
      <formula>AK5="No"</formula>
    </cfRule>
  </conditionalFormatting>
  <conditionalFormatting sqref="AN5:AN39">
    <cfRule type="expression" dxfId="156" priority="29">
      <formula>AN5="❌ Disc"</formula>
    </cfRule>
    <cfRule type="expression" dxfId="155" priority="30">
      <formula>AN5="⚠ Missing"</formula>
    </cfRule>
    <cfRule type="expression" dxfId="154" priority="31">
      <formula>AN5="⚠ Check"</formula>
    </cfRule>
    <cfRule type="expression" dxfId="153" priority="28">
      <formula>AN5="✓ OK"</formula>
    </cfRule>
  </conditionalFormatting>
  <conditionalFormatting sqref="AQ5:AQ39">
    <cfRule type="expression" dxfId="152" priority="42">
      <formula>AQ5="No"</formula>
    </cfRule>
    <cfRule type="expression" dxfId="151" priority="41">
      <formula>AQ5="Yes"</formula>
    </cfRule>
  </conditionalFormatting>
  <conditionalFormatting sqref="AR5:AR39">
    <cfRule type="expression" dxfId="150" priority="43">
      <formula>AR5="Yes"</formula>
    </cfRule>
  </conditionalFormatting>
  <conditionalFormatting sqref="AT5:AT39">
    <cfRule type="expression" dxfId="149" priority="44">
      <formula>AT5="Yes"</formula>
    </cfRule>
    <cfRule type="expression" dxfId="148" priority="45">
      <formula>AT5="No"</formula>
    </cfRule>
  </conditionalFormatting>
  <conditionalFormatting sqref="AW5:AW39">
    <cfRule type="expression" dxfId="147" priority="37">
      <formula>AW5="✓ OK"</formula>
    </cfRule>
    <cfRule type="expression" dxfId="146" priority="38">
      <formula>AW5="❌ Disc"</formula>
    </cfRule>
    <cfRule type="expression" dxfId="145" priority="39">
      <formula>AW5="⚠ Missing"</formula>
    </cfRule>
    <cfRule type="expression" dxfId="144" priority="40">
      <formula>AW5="⚠ Check"</formula>
    </cfRule>
  </conditionalFormatting>
  <dataValidations count="2">
    <dataValidation type="list" allowBlank="1" sqref="AT5:AT39 AQ5:AR39 AK5:AK39 AH5:AI39 AB5:AB39 Y5:Z39 S5:S39 P5:Q39 G5:H39 J5:J39" xr:uid="{00000000-0002-0000-0900-000000000000}">
      <formula1>"Yes,No"</formula1>
    </dataValidation>
    <dataValidation type="list" allowBlank="1" sqref="R5:R39 AS5:AS39 AJ5:AJ39 AA5:AA39 I5:I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E69" activePane="bottomRight" state="frozen"/>
      <selection pane="topRight" activeCell="AU16" sqref="AU16"/>
      <selection pane="bottomLeft" activeCell="AU16" sqref="AU16"/>
      <selection pane="bottomRight" activeCell="G80" sqref="G80"/>
    </sheetView>
  </sheetViews>
  <sheetFormatPr defaultRowHeight="14.4" x14ac:dyDescent="0.3"/>
  <cols>
    <col min="1" max="1" width="4" customWidth="1"/>
    <col min="2" max="2" width="16" customWidth="1"/>
    <col min="3" max="3" width="40.6640625" bestFit="1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4460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4461</v>
      </c>
      <c r="C5" s="25" t="s">
        <v>4462</v>
      </c>
      <c r="D5" s="23" t="s">
        <v>21</v>
      </c>
      <c r="E5" s="46">
        <v>46125</v>
      </c>
      <c r="F5" s="26" t="s">
        <v>6222</v>
      </c>
      <c r="G5" s="47" t="s">
        <v>6232</v>
      </c>
      <c r="H5" s="26" t="s">
        <v>6223</v>
      </c>
      <c r="I5" s="47" t="s">
        <v>6232</v>
      </c>
      <c r="J5" s="26" t="s">
        <v>6224</v>
      </c>
      <c r="K5" s="27"/>
      <c r="L5" s="28" t="s">
        <v>6223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4463</v>
      </c>
      <c r="C6" s="44" t="s">
        <v>4464</v>
      </c>
      <c r="D6" s="42" t="s">
        <v>21</v>
      </c>
      <c r="E6" s="46">
        <v>46125</v>
      </c>
      <c r="F6" s="26" t="s">
        <v>6222</v>
      </c>
      <c r="G6" s="47" t="s">
        <v>6232</v>
      </c>
      <c r="H6" s="26" t="s">
        <v>6223</v>
      </c>
      <c r="I6" s="47" t="s">
        <v>6232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4465</v>
      </c>
      <c r="C7" s="25" t="s">
        <v>4466</v>
      </c>
      <c r="D7" s="23" t="s">
        <v>21</v>
      </c>
      <c r="E7" s="46">
        <v>46125</v>
      </c>
      <c r="F7" s="26" t="s">
        <v>6222</v>
      </c>
      <c r="G7" s="47" t="s">
        <v>6232</v>
      </c>
      <c r="H7" s="26" t="s">
        <v>6223</v>
      </c>
      <c r="I7" s="47" t="s">
        <v>6232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4467</v>
      </c>
      <c r="C8" s="44" t="s">
        <v>4468</v>
      </c>
      <c r="D8" s="42" t="s">
        <v>21</v>
      </c>
      <c r="E8" s="46">
        <v>46125</v>
      </c>
      <c r="F8" s="26" t="s">
        <v>6222</v>
      </c>
      <c r="G8" s="47" t="s">
        <v>6232</v>
      </c>
      <c r="H8" s="26" t="s">
        <v>6223</v>
      </c>
      <c r="I8" s="47" t="s">
        <v>6232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4469</v>
      </c>
      <c r="C9" s="25" t="s">
        <v>4470</v>
      </c>
      <c r="D9" s="23" t="s">
        <v>21</v>
      </c>
      <c r="E9" s="46">
        <v>46125</v>
      </c>
      <c r="F9" s="26" t="s">
        <v>6222</v>
      </c>
      <c r="G9" s="47" t="s">
        <v>6232</v>
      </c>
      <c r="H9" s="26" t="s">
        <v>6223</v>
      </c>
      <c r="I9" s="47" t="s">
        <v>6232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4471</v>
      </c>
      <c r="C10" s="44" t="s">
        <v>4472</v>
      </c>
      <c r="D10" s="42" t="s">
        <v>21</v>
      </c>
      <c r="E10" s="46">
        <v>46125</v>
      </c>
      <c r="F10" s="26" t="s">
        <v>6222</v>
      </c>
      <c r="G10" s="47" t="s">
        <v>6232</v>
      </c>
      <c r="H10" s="26" t="s">
        <v>6223</v>
      </c>
      <c r="I10" s="47" t="s">
        <v>6232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4473</v>
      </c>
      <c r="C11" s="25" t="s">
        <v>4474</v>
      </c>
      <c r="D11" s="23" t="s">
        <v>21</v>
      </c>
      <c r="E11" s="46">
        <v>46125</v>
      </c>
      <c r="F11" s="26" t="s">
        <v>6222</v>
      </c>
      <c r="G11" s="47" t="s">
        <v>6232</v>
      </c>
      <c r="H11" s="26" t="s">
        <v>6223</v>
      </c>
      <c r="I11" s="47" t="s">
        <v>6232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4475</v>
      </c>
      <c r="C12" s="44" t="s">
        <v>4476</v>
      </c>
      <c r="D12" s="42" t="s">
        <v>21</v>
      </c>
      <c r="E12" s="46">
        <v>46125</v>
      </c>
      <c r="F12" s="26" t="s">
        <v>6222</v>
      </c>
      <c r="G12" s="47" t="s">
        <v>6232</v>
      </c>
      <c r="H12" s="26" t="s">
        <v>6223</v>
      </c>
      <c r="I12" s="47" t="s">
        <v>6232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4477</v>
      </c>
      <c r="C13" s="25" t="s">
        <v>4478</v>
      </c>
      <c r="D13" s="23" t="s">
        <v>21</v>
      </c>
      <c r="E13" s="46">
        <v>46125</v>
      </c>
      <c r="F13" s="26" t="s">
        <v>6222</v>
      </c>
      <c r="G13" s="47" t="s">
        <v>6232</v>
      </c>
      <c r="H13" s="26" t="s">
        <v>6223</v>
      </c>
      <c r="I13" s="47" t="s">
        <v>6232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4479</v>
      </c>
      <c r="C14" s="44" t="s">
        <v>4480</v>
      </c>
      <c r="D14" s="42" t="s">
        <v>21</v>
      </c>
      <c r="E14" s="46">
        <v>46125</v>
      </c>
      <c r="F14" s="26" t="s">
        <v>6222</v>
      </c>
      <c r="G14" s="47" t="s">
        <v>6232</v>
      </c>
      <c r="H14" s="26" t="s">
        <v>6223</v>
      </c>
      <c r="I14" s="47" t="s">
        <v>6232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4481</v>
      </c>
      <c r="C15" s="25" t="s">
        <v>4482</v>
      </c>
      <c r="D15" s="23" t="s">
        <v>21</v>
      </c>
      <c r="E15" s="46">
        <v>46125</v>
      </c>
      <c r="F15" s="26" t="s">
        <v>6222</v>
      </c>
      <c r="G15" s="47" t="s">
        <v>6224</v>
      </c>
      <c r="H15" s="26" t="s">
        <v>6223</v>
      </c>
      <c r="I15" s="47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4483</v>
      </c>
      <c r="C16" s="44" t="s">
        <v>4484</v>
      </c>
      <c r="D16" s="42" t="s">
        <v>21</v>
      </c>
      <c r="E16" s="46">
        <v>46125</v>
      </c>
      <c r="F16" s="26" t="s">
        <v>6222</v>
      </c>
      <c r="G16" s="47" t="s">
        <v>6232</v>
      </c>
      <c r="H16" s="26" t="s">
        <v>6223</v>
      </c>
      <c r="I16" s="47" t="s">
        <v>6232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4485</v>
      </c>
      <c r="C17" s="25" t="s">
        <v>4486</v>
      </c>
      <c r="D17" s="23" t="s">
        <v>21</v>
      </c>
      <c r="E17" s="46">
        <v>46125</v>
      </c>
      <c r="F17" s="26" t="s">
        <v>6222</v>
      </c>
      <c r="G17" s="47" t="s">
        <v>6232</v>
      </c>
      <c r="H17" s="26" t="s">
        <v>6223</v>
      </c>
      <c r="I17" s="47" t="s">
        <v>6232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4487</v>
      </c>
      <c r="C18" s="44" t="s">
        <v>4488</v>
      </c>
      <c r="D18" s="42" t="s">
        <v>21</v>
      </c>
      <c r="E18" s="46">
        <v>46125</v>
      </c>
      <c r="F18" s="26" t="s">
        <v>6222</v>
      </c>
      <c r="G18" s="47" t="s">
        <v>6224</v>
      </c>
      <c r="H18" s="26" t="s">
        <v>6223</v>
      </c>
      <c r="I18" s="47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4489</v>
      </c>
      <c r="C19" s="25" t="s">
        <v>4490</v>
      </c>
      <c r="D19" s="23" t="s">
        <v>21</v>
      </c>
      <c r="E19" s="46">
        <v>46125</v>
      </c>
      <c r="F19" s="26" t="s">
        <v>6222</v>
      </c>
      <c r="G19" s="47" t="s">
        <v>6232</v>
      </c>
      <c r="H19" s="26" t="s">
        <v>6223</v>
      </c>
      <c r="I19" s="47" t="s">
        <v>6232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4491</v>
      </c>
      <c r="C20" s="44" t="s">
        <v>4492</v>
      </c>
      <c r="D20" s="42" t="s">
        <v>21</v>
      </c>
      <c r="E20" s="46">
        <v>46125</v>
      </c>
      <c r="F20" s="26" t="s">
        <v>6222</v>
      </c>
      <c r="G20" s="47" t="s">
        <v>6232</v>
      </c>
      <c r="H20" s="26" t="s">
        <v>6223</v>
      </c>
      <c r="I20" s="47" t="s">
        <v>6232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4493</v>
      </c>
      <c r="C21" s="25" t="s">
        <v>4494</v>
      </c>
      <c r="D21" s="23" t="s">
        <v>21</v>
      </c>
      <c r="E21" s="46">
        <v>46125</v>
      </c>
      <c r="F21" s="26" t="s">
        <v>6222</v>
      </c>
      <c r="G21" s="47" t="s">
        <v>6224</v>
      </c>
      <c r="H21" s="26" t="s">
        <v>6223</v>
      </c>
      <c r="I21" s="47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4495</v>
      </c>
      <c r="C22" s="44" t="s">
        <v>4496</v>
      </c>
      <c r="D22" s="42" t="s">
        <v>21</v>
      </c>
      <c r="E22" s="46">
        <v>46125</v>
      </c>
      <c r="F22" s="26" t="s">
        <v>6222</v>
      </c>
      <c r="G22" s="47" t="s">
        <v>6232</v>
      </c>
      <c r="H22" s="26" t="s">
        <v>6223</v>
      </c>
      <c r="I22" s="47" t="s">
        <v>6232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4497</v>
      </c>
      <c r="C23" s="25" t="s">
        <v>4498</v>
      </c>
      <c r="D23" s="23" t="s">
        <v>21</v>
      </c>
      <c r="E23" s="46">
        <v>46125</v>
      </c>
      <c r="F23" s="26" t="s">
        <v>6222</v>
      </c>
      <c r="G23" s="47" t="s">
        <v>6224</v>
      </c>
      <c r="H23" s="26" t="s">
        <v>6223</v>
      </c>
      <c r="I23" s="47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4499</v>
      </c>
      <c r="C24" s="44" t="s">
        <v>4500</v>
      </c>
      <c r="D24" s="42" t="s">
        <v>21</v>
      </c>
      <c r="E24" s="46">
        <v>46125</v>
      </c>
      <c r="F24" s="26" t="s">
        <v>6222</v>
      </c>
      <c r="G24" s="47" t="s">
        <v>6232</v>
      </c>
      <c r="H24" s="26" t="s">
        <v>6223</v>
      </c>
      <c r="I24" s="47" t="s">
        <v>6232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4501</v>
      </c>
      <c r="C25" s="25" t="s">
        <v>4502</v>
      </c>
      <c r="D25" s="23" t="s">
        <v>21</v>
      </c>
      <c r="E25" s="46">
        <v>46125</v>
      </c>
      <c r="F25" s="26" t="s">
        <v>6222</v>
      </c>
      <c r="G25" s="47" t="s">
        <v>6224</v>
      </c>
      <c r="H25" s="26" t="s">
        <v>6223</v>
      </c>
      <c r="I25" s="47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4503</v>
      </c>
      <c r="C26" s="44" t="s">
        <v>4504</v>
      </c>
      <c r="D26" s="42" t="s">
        <v>21</v>
      </c>
      <c r="E26" s="46">
        <v>46125</v>
      </c>
      <c r="F26" s="26" t="s">
        <v>6222</v>
      </c>
      <c r="G26" s="47" t="s">
        <v>6232</v>
      </c>
      <c r="H26" s="26" t="s">
        <v>6223</v>
      </c>
      <c r="I26" s="47" t="s">
        <v>6232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4505</v>
      </c>
      <c r="C27" s="25" t="s">
        <v>4506</v>
      </c>
      <c r="D27" s="23" t="s">
        <v>21</v>
      </c>
      <c r="E27" s="46">
        <v>46125</v>
      </c>
      <c r="F27" s="26" t="s">
        <v>6222</v>
      </c>
      <c r="G27" s="47" t="s">
        <v>6224</v>
      </c>
      <c r="H27" s="26" t="s">
        <v>6223</v>
      </c>
      <c r="I27" s="47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4507</v>
      </c>
      <c r="C28" s="44" t="s">
        <v>4508</v>
      </c>
      <c r="D28" s="42" t="s">
        <v>21</v>
      </c>
      <c r="E28" s="46">
        <v>46125</v>
      </c>
      <c r="F28" s="26" t="s">
        <v>6222</v>
      </c>
      <c r="G28" s="47" t="s">
        <v>6224</v>
      </c>
      <c r="H28" s="26" t="s">
        <v>6223</v>
      </c>
      <c r="I28" s="47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4509</v>
      </c>
      <c r="C29" s="25" t="s">
        <v>4510</v>
      </c>
      <c r="D29" s="23" t="s">
        <v>21</v>
      </c>
      <c r="E29" s="46">
        <v>46125</v>
      </c>
      <c r="F29" s="26" t="s">
        <v>6222</v>
      </c>
      <c r="G29" s="47" t="s">
        <v>6224</v>
      </c>
      <c r="H29" s="26" t="s">
        <v>6223</v>
      </c>
      <c r="I29" s="47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4511</v>
      </c>
      <c r="C30" s="44" t="s">
        <v>4512</v>
      </c>
      <c r="D30" s="42" t="s">
        <v>21</v>
      </c>
      <c r="E30" s="46">
        <v>46125</v>
      </c>
      <c r="F30" s="26" t="s">
        <v>6222</v>
      </c>
      <c r="G30" s="47" t="s">
        <v>6232</v>
      </c>
      <c r="H30" s="26" t="s">
        <v>6223</v>
      </c>
      <c r="I30" s="47" t="s">
        <v>6232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4513</v>
      </c>
      <c r="C31" s="25" t="s">
        <v>4514</v>
      </c>
      <c r="D31" s="23" t="s">
        <v>21</v>
      </c>
      <c r="E31" s="46">
        <v>46125</v>
      </c>
      <c r="F31" s="26" t="s">
        <v>6222</v>
      </c>
      <c r="G31" s="47" t="s">
        <v>6232</v>
      </c>
      <c r="H31" s="26" t="s">
        <v>6223</v>
      </c>
      <c r="I31" s="47" t="s">
        <v>6232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4515</v>
      </c>
      <c r="C32" s="44" t="s">
        <v>4516</v>
      </c>
      <c r="D32" s="42" t="s">
        <v>21</v>
      </c>
      <c r="E32" s="46">
        <v>46125</v>
      </c>
      <c r="F32" s="26" t="s">
        <v>6222</v>
      </c>
      <c r="G32" s="47" t="s">
        <v>6232</v>
      </c>
      <c r="H32" s="26" t="s">
        <v>6223</v>
      </c>
      <c r="I32" s="47" t="s">
        <v>6232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4517</v>
      </c>
      <c r="C33" s="25" t="s">
        <v>4518</v>
      </c>
      <c r="D33" s="23" t="s">
        <v>21</v>
      </c>
      <c r="E33" s="46">
        <v>46125</v>
      </c>
      <c r="F33" s="26" t="s">
        <v>6222</v>
      </c>
      <c r="G33" s="47" t="s">
        <v>6232</v>
      </c>
      <c r="H33" s="26" t="s">
        <v>6223</v>
      </c>
      <c r="I33" s="47" t="s">
        <v>6232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4519</v>
      </c>
      <c r="C34" s="44" t="s">
        <v>4520</v>
      </c>
      <c r="D34" s="42" t="s">
        <v>21</v>
      </c>
      <c r="E34" s="46">
        <v>46125</v>
      </c>
      <c r="F34" s="26" t="s">
        <v>6222</v>
      </c>
      <c r="G34" s="47" t="s">
        <v>6232</v>
      </c>
      <c r="H34" s="26" t="s">
        <v>6223</v>
      </c>
      <c r="I34" s="47" t="s">
        <v>6232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4521</v>
      </c>
      <c r="C35" s="25" t="s">
        <v>4522</v>
      </c>
      <c r="D35" s="23" t="s">
        <v>21</v>
      </c>
      <c r="E35" s="46">
        <v>46125</v>
      </c>
      <c r="F35" s="26" t="s">
        <v>6222</v>
      </c>
      <c r="G35" s="47" t="s">
        <v>6232</v>
      </c>
      <c r="H35" s="26" t="s">
        <v>6223</v>
      </c>
      <c r="I35" s="47" t="s">
        <v>6232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4523</v>
      </c>
      <c r="C36" s="44" t="s">
        <v>4524</v>
      </c>
      <c r="D36" s="42" t="s">
        <v>21</v>
      </c>
      <c r="E36" s="46">
        <v>46125</v>
      </c>
      <c r="F36" s="26" t="s">
        <v>6222</v>
      </c>
      <c r="G36" s="47" t="s">
        <v>6232</v>
      </c>
      <c r="H36" s="26" t="s">
        <v>6223</v>
      </c>
      <c r="I36" s="47" t="s">
        <v>6232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4525</v>
      </c>
      <c r="C37" s="25" t="s">
        <v>4526</v>
      </c>
      <c r="D37" s="23" t="s">
        <v>21</v>
      </c>
      <c r="E37" s="46">
        <v>46125</v>
      </c>
      <c r="F37" s="26" t="s">
        <v>6222</v>
      </c>
      <c r="G37" s="47" t="s">
        <v>6232</v>
      </c>
      <c r="H37" s="26" t="s">
        <v>6223</v>
      </c>
      <c r="I37" s="47" t="s">
        <v>6232</v>
      </c>
      <c r="J37" s="26" t="s">
        <v>6224</v>
      </c>
      <c r="K37" s="27"/>
      <c r="L37" s="28" t="s">
        <v>6223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4527</v>
      </c>
      <c r="C38" s="44" t="s">
        <v>4528</v>
      </c>
      <c r="D38" s="42" t="s">
        <v>21</v>
      </c>
      <c r="E38" s="46">
        <v>46125</v>
      </c>
      <c r="F38" s="26" t="s">
        <v>6222</v>
      </c>
      <c r="G38" s="47" t="s">
        <v>6224</v>
      </c>
      <c r="H38" s="26" t="s">
        <v>6223</v>
      </c>
      <c r="I38" s="47" t="s">
        <v>6225</v>
      </c>
      <c r="J38" s="26" t="s">
        <v>6224</v>
      </c>
      <c r="K38" s="27"/>
      <c r="L38" s="28" t="s">
        <v>6223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4529</v>
      </c>
      <c r="C39" s="25" t="s">
        <v>4530</v>
      </c>
      <c r="D39" s="23" t="s">
        <v>21</v>
      </c>
      <c r="E39" s="46">
        <v>46125</v>
      </c>
      <c r="F39" s="26" t="s">
        <v>6222</v>
      </c>
      <c r="G39" s="47" t="s">
        <v>6232</v>
      </c>
      <c r="H39" s="26" t="s">
        <v>6223</v>
      </c>
      <c r="I39" s="47" t="s">
        <v>6232</v>
      </c>
      <c r="J39" s="26" t="s">
        <v>6224</v>
      </c>
      <c r="K39" s="27"/>
      <c r="L39" s="28" t="s">
        <v>6223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4531</v>
      </c>
      <c r="C40" s="44" t="s">
        <v>4532</v>
      </c>
      <c r="D40" s="42" t="s">
        <v>21</v>
      </c>
      <c r="E40" s="46">
        <v>46125</v>
      </c>
      <c r="F40" s="26" t="s">
        <v>6222</v>
      </c>
      <c r="G40" s="47" t="s">
        <v>6232</v>
      </c>
      <c r="H40" s="26" t="s">
        <v>6223</v>
      </c>
      <c r="I40" s="47" t="s">
        <v>6232</v>
      </c>
      <c r="J40" s="26" t="s">
        <v>6224</v>
      </c>
      <c r="K40" s="27"/>
      <c r="L40" s="28" t="s">
        <v>6223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4533</v>
      </c>
      <c r="C41" s="25" t="s">
        <v>4534</v>
      </c>
      <c r="D41" s="23" t="s">
        <v>21</v>
      </c>
      <c r="E41" s="46">
        <v>46125</v>
      </c>
      <c r="F41" s="26" t="s">
        <v>6222</v>
      </c>
      <c r="G41" s="47" t="s">
        <v>6232</v>
      </c>
      <c r="H41" s="26" t="s">
        <v>6223</v>
      </c>
      <c r="I41" s="47" t="s">
        <v>6232</v>
      </c>
      <c r="J41" s="26" t="s">
        <v>6224</v>
      </c>
      <c r="K41" s="27"/>
      <c r="L41" s="28" t="s">
        <v>6223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4535</v>
      </c>
      <c r="C42" s="44" t="s">
        <v>4536</v>
      </c>
      <c r="D42" s="42" t="s">
        <v>21</v>
      </c>
      <c r="E42" s="46">
        <v>46125</v>
      </c>
      <c r="F42" s="26" t="s">
        <v>6222</v>
      </c>
      <c r="G42" s="47" t="s">
        <v>6232</v>
      </c>
      <c r="H42" s="26" t="s">
        <v>6223</v>
      </c>
      <c r="I42" s="47" t="s">
        <v>6232</v>
      </c>
      <c r="J42" s="26" t="s">
        <v>6224</v>
      </c>
      <c r="K42" s="27"/>
      <c r="L42" s="28" t="s">
        <v>6223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4537</v>
      </c>
      <c r="C43" s="25" t="s">
        <v>4538</v>
      </c>
      <c r="D43" s="23" t="s">
        <v>21</v>
      </c>
      <c r="E43" s="46">
        <v>46125</v>
      </c>
      <c r="F43" s="26" t="s">
        <v>6222</v>
      </c>
      <c r="G43" s="47" t="s">
        <v>6224</v>
      </c>
      <c r="H43" s="26" t="s">
        <v>6223</v>
      </c>
      <c r="I43" s="47" t="s">
        <v>6225</v>
      </c>
      <c r="J43" s="26" t="s">
        <v>6224</v>
      </c>
      <c r="K43" s="27"/>
      <c r="L43" s="28" t="s">
        <v>6223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4539</v>
      </c>
      <c r="C44" s="44" t="s">
        <v>4540</v>
      </c>
      <c r="D44" s="42" t="s">
        <v>21</v>
      </c>
      <c r="E44" s="46">
        <v>46125</v>
      </c>
      <c r="F44" s="26" t="s">
        <v>6222</v>
      </c>
      <c r="G44" s="47" t="s">
        <v>6232</v>
      </c>
      <c r="H44" s="26" t="s">
        <v>6223</v>
      </c>
      <c r="I44" s="47" t="s">
        <v>6232</v>
      </c>
      <c r="J44" s="26" t="s">
        <v>6224</v>
      </c>
      <c r="K44" s="27"/>
      <c r="L44" s="28" t="s">
        <v>6223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4541</v>
      </c>
      <c r="C45" s="25" t="s">
        <v>4542</v>
      </c>
      <c r="D45" s="23" t="s">
        <v>21</v>
      </c>
      <c r="E45" s="46">
        <v>46125</v>
      </c>
      <c r="F45" s="26" t="s">
        <v>6222</v>
      </c>
      <c r="G45" s="47" t="s">
        <v>6232</v>
      </c>
      <c r="H45" s="26" t="s">
        <v>6223</v>
      </c>
      <c r="I45" s="47" t="s">
        <v>6232</v>
      </c>
      <c r="J45" s="26" t="s">
        <v>6224</v>
      </c>
      <c r="K45" s="27"/>
      <c r="L45" s="28" t="s">
        <v>6223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4543</v>
      </c>
      <c r="C46" s="44" t="s">
        <v>4544</v>
      </c>
      <c r="D46" s="42" t="s">
        <v>21</v>
      </c>
      <c r="E46" s="46">
        <v>46125</v>
      </c>
      <c r="F46" s="26" t="s">
        <v>6222</v>
      </c>
      <c r="G46" s="47" t="s">
        <v>6232</v>
      </c>
      <c r="H46" s="26" t="s">
        <v>6223</v>
      </c>
      <c r="I46" s="47" t="s">
        <v>6232</v>
      </c>
      <c r="J46" s="26" t="s">
        <v>6224</v>
      </c>
      <c r="K46" s="27"/>
      <c r="L46" s="28" t="s">
        <v>6223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4545</v>
      </c>
      <c r="C47" s="25" t="s">
        <v>4546</v>
      </c>
      <c r="D47" s="23" t="s">
        <v>21</v>
      </c>
      <c r="E47" s="46">
        <v>46125</v>
      </c>
      <c r="F47" s="26" t="s">
        <v>6222</v>
      </c>
      <c r="G47" s="47" t="s">
        <v>6224</v>
      </c>
      <c r="H47" s="26" t="s">
        <v>6223</v>
      </c>
      <c r="I47" s="47" t="s">
        <v>6225</v>
      </c>
      <c r="J47" s="26" t="s">
        <v>6224</v>
      </c>
      <c r="K47" s="27"/>
      <c r="L47" s="28" t="s">
        <v>6223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4547</v>
      </c>
      <c r="C48" s="44" t="s">
        <v>4548</v>
      </c>
      <c r="D48" s="42" t="s">
        <v>21</v>
      </c>
      <c r="E48" s="46">
        <v>46125</v>
      </c>
      <c r="F48" s="26" t="s">
        <v>6222</v>
      </c>
      <c r="G48" s="47" t="s">
        <v>6224</v>
      </c>
      <c r="H48" s="26" t="s">
        <v>6223</v>
      </c>
      <c r="I48" s="47" t="s">
        <v>6225</v>
      </c>
      <c r="J48" s="26" t="s">
        <v>6224</v>
      </c>
      <c r="K48" s="27"/>
      <c r="L48" s="28" t="s">
        <v>6223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4549</v>
      </c>
      <c r="C49" s="25" t="s">
        <v>4550</v>
      </c>
      <c r="D49" s="23" t="s">
        <v>21</v>
      </c>
      <c r="E49" s="46">
        <v>46125</v>
      </c>
      <c r="F49" s="26" t="s">
        <v>6222</v>
      </c>
      <c r="G49" s="47" t="s">
        <v>6232</v>
      </c>
      <c r="H49" s="26" t="s">
        <v>6223</v>
      </c>
      <c r="I49" s="47" t="s">
        <v>6232</v>
      </c>
      <c r="J49" s="26" t="s">
        <v>6224</v>
      </c>
      <c r="K49" s="27"/>
      <c r="L49" s="28" t="s">
        <v>6223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4551</v>
      </c>
      <c r="C50" s="44" t="s">
        <v>4552</v>
      </c>
      <c r="D50" s="42" t="s">
        <v>21</v>
      </c>
      <c r="E50" s="46">
        <v>46125</v>
      </c>
      <c r="F50" s="26" t="s">
        <v>6222</v>
      </c>
      <c r="G50" s="47" t="s">
        <v>6232</v>
      </c>
      <c r="H50" s="26" t="s">
        <v>6223</v>
      </c>
      <c r="I50" s="47" t="s">
        <v>6232</v>
      </c>
      <c r="J50" s="26" t="s">
        <v>6224</v>
      </c>
      <c r="K50" s="27"/>
      <c r="L50" s="28" t="s">
        <v>6223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4553</v>
      </c>
      <c r="C51" s="25" t="s">
        <v>4554</v>
      </c>
      <c r="D51" s="23" t="s">
        <v>21</v>
      </c>
      <c r="E51" s="46">
        <v>46125</v>
      </c>
      <c r="F51" s="26" t="s">
        <v>6222</v>
      </c>
      <c r="G51" s="47" t="s">
        <v>6224</v>
      </c>
      <c r="H51" s="26" t="s">
        <v>6223</v>
      </c>
      <c r="I51" s="47" t="s">
        <v>6225</v>
      </c>
      <c r="J51" s="26" t="s">
        <v>6224</v>
      </c>
      <c r="K51" s="27"/>
      <c r="L51" s="28" t="s">
        <v>6223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4555</v>
      </c>
      <c r="C52" s="44" t="s">
        <v>4556</v>
      </c>
      <c r="D52" s="42" t="s">
        <v>21</v>
      </c>
      <c r="E52" s="46">
        <v>46125</v>
      </c>
      <c r="F52" s="26" t="s">
        <v>6222</v>
      </c>
      <c r="G52" s="47" t="s">
        <v>6224</v>
      </c>
      <c r="H52" s="26" t="s">
        <v>6223</v>
      </c>
      <c r="I52" s="47" t="s">
        <v>6225</v>
      </c>
      <c r="J52" s="26" t="s">
        <v>6224</v>
      </c>
      <c r="K52" s="27"/>
      <c r="L52" s="28" t="s">
        <v>6223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4557</v>
      </c>
      <c r="C53" s="25" t="s">
        <v>4558</v>
      </c>
      <c r="D53" s="23" t="s">
        <v>21</v>
      </c>
      <c r="E53" s="46">
        <v>46125</v>
      </c>
      <c r="F53" s="26" t="s">
        <v>6222</v>
      </c>
      <c r="G53" s="47" t="s">
        <v>6224</v>
      </c>
      <c r="H53" s="26" t="s">
        <v>6223</v>
      </c>
      <c r="I53" s="47" t="s">
        <v>6225</v>
      </c>
      <c r="J53" s="26" t="s">
        <v>6224</v>
      </c>
      <c r="K53" s="27"/>
      <c r="L53" s="28" t="s">
        <v>6223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4559</v>
      </c>
      <c r="C54" s="44" t="s">
        <v>4560</v>
      </c>
      <c r="D54" s="42" t="s">
        <v>21</v>
      </c>
      <c r="E54" s="46">
        <v>46125</v>
      </c>
      <c r="F54" s="26" t="s">
        <v>6222</v>
      </c>
      <c r="G54" s="47" t="s">
        <v>6232</v>
      </c>
      <c r="H54" s="26" t="s">
        <v>6223</v>
      </c>
      <c r="I54" s="47" t="s">
        <v>6232</v>
      </c>
      <c r="J54" s="26" t="s">
        <v>6224</v>
      </c>
      <c r="K54" s="27"/>
      <c r="L54" s="28" t="s">
        <v>6223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4561</v>
      </c>
      <c r="C55" s="25" t="s">
        <v>4562</v>
      </c>
      <c r="D55" s="23" t="s">
        <v>21</v>
      </c>
      <c r="E55" s="46">
        <v>46125</v>
      </c>
      <c r="F55" s="26" t="s">
        <v>6222</v>
      </c>
      <c r="G55" s="47" t="s">
        <v>6232</v>
      </c>
      <c r="H55" s="26" t="s">
        <v>6223</v>
      </c>
      <c r="I55" s="47" t="s">
        <v>6232</v>
      </c>
      <c r="J55" s="26" t="s">
        <v>6224</v>
      </c>
      <c r="K55" s="27"/>
      <c r="L55" s="28" t="s">
        <v>6223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4563</v>
      </c>
      <c r="C56" s="44" t="s">
        <v>4564</v>
      </c>
      <c r="D56" s="42" t="s">
        <v>21</v>
      </c>
      <c r="E56" s="46">
        <v>46125</v>
      </c>
      <c r="F56" s="26" t="s">
        <v>6222</v>
      </c>
      <c r="G56" s="47" t="s">
        <v>6232</v>
      </c>
      <c r="H56" s="26" t="s">
        <v>6223</v>
      </c>
      <c r="I56" s="47" t="s">
        <v>6232</v>
      </c>
      <c r="J56" s="26" t="s">
        <v>6224</v>
      </c>
      <c r="K56" s="27"/>
      <c r="L56" s="28" t="s">
        <v>6223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4565</v>
      </c>
      <c r="C57" s="25" t="s">
        <v>4566</v>
      </c>
      <c r="D57" s="23" t="s">
        <v>21</v>
      </c>
      <c r="E57" s="46">
        <v>46125</v>
      </c>
      <c r="F57" s="26" t="s">
        <v>6222</v>
      </c>
      <c r="G57" s="47" t="s">
        <v>6232</v>
      </c>
      <c r="H57" s="26" t="s">
        <v>6223</v>
      </c>
      <c r="I57" s="47" t="s">
        <v>6232</v>
      </c>
      <c r="J57" s="26" t="s">
        <v>6224</v>
      </c>
      <c r="K57" s="27"/>
      <c r="L57" s="28" t="s">
        <v>6223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4567</v>
      </c>
      <c r="C58" s="44" t="s">
        <v>4568</v>
      </c>
      <c r="D58" s="42" t="s">
        <v>21</v>
      </c>
      <c r="E58" s="46">
        <v>46125</v>
      </c>
      <c r="F58" s="26" t="s">
        <v>6222</v>
      </c>
      <c r="G58" s="47" t="s">
        <v>6232</v>
      </c>
      <c r="H58" s="26" t="s">
        <v>6223</v>
      </c>
      <c r="I58" s="47" t="s">
        <v>6232</v>
      </c>
      <c r="J58" s="26" t="s">
        <v>6224</v>
      </c>
      <c r="K58" s="27"/>
      <c r="L58" s="28" t="s">
        <v>6223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4569</v>
      </c>
      <c r="C59" s="25" t="s">
        <v>4570</v>
      </c>
      <c r="D59" s="23" t="s">
        <v>21</v>
      </c>
      <c r="E59" s="46">
        <v>46125</v>
      </c>
      <c r="F59" s="26" t="s">
        <v>6222</v>
      </c>
      <c r="G59" s="47" t="s">
        <v>6224</v>
      </c>
      <c r="H59" s="26" t="s">
        <v>6223</v>
      </c>
      <c r="I59" s="47" t="s">
        <v>6225</v>
      </c>
      <c r="J59" s="26" t="s">
        <v>6224</v>
      </c>
      <c r="K59" s="27"/>
      <c r="L59" s="28" t="s">
        <v>6223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4571</v>
      </c>
      <c r="C60" s="44" t="s">
        <v>4572</v>
      </c>
      <c r="D60" s="42" t="s">
        <v>21</v>
      </c>
      <c r="E60" s="46">
        <v>46125</v>
      </c>
      <c r="F60" s="26" t="s">
        <v>6222</v>
      </c>
      <c r="G60" s="47" t="s">
        <v>6232</v>
      </c>
      <c r="H60" s="26" t="s">
        <v>6223</v>
      </c>
      <c r="I60" s="47" t="s">
        <v>6232</v>
      </c>
      <c r="J60" s="26" t="s">
        <v>6224</v>
      </c>
      <c r="K60" s="27"/>
      <c r="L60" s="28" t="s">
        <v>6223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4573</v>
      </c>
      <c r="C61" s="25" t="s">
        <v>4574</v>
      </c>
      <c r="D61" s="23" t="s">
        <v>21</v>
      </c>
      <c r="E61" s="46">
        <v>46125</v>
      </c>
      <c r="F61" s="26" t="s">
        <v>6222</v>
      </c>
      <c r="G61" s="47" t="s">
        <v>6232</v>
      </c>
      <c r="H61" s="26" t="s">
        <v>6223</v>
      </c>
      <c r="I61" s="47" t="s">
        <v>6232</v>
      </c>
      <c r="J61" s="26" t="s">
        <v>6224</v>
      </c>
      <c r="K61" s="27"/>
      <c r="L61" s="28" t="s">
        <v>6223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4575</v>
      </c>
      <c r="C62" s="44" t="s">
        <v>4576</v>
      </c>
      <c r="D62" s="42" t="s">
        <v>21</v>
      </c>
      <c r="E62" s="46">
        <v>46125</v>
      </c>
      <c r="F62" s="26" t="s">
        <v>6222</v>
      </c>
      <c r="G62" s="47" t="s">
        <v>6232</v>
      </c>
      <c r="H62" s="26" t="s">
        <v>6223</v>
      </c>
      <c r="I62" s="47" t="s">
        <v>6232</v>
      </c>
      <c r="J62" s="26" t="s">
        <v>6224</v>
      </c>
      <c r="K62" s="27"/>
      <c r="L62" s="28" t="s">
        <v>6223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4577</v>
      </c>
      <c r="C63" s="25" t="s">
        <v>4578</v>
      </c>
      <c r="D63" s="23" t="s">
        <v>21</v>
      </c>
      <c r="E63" s="46">
        <v>46125</v>
      </c>
      <c r="F63" s="26" t="s">
        <v>6222</v>
      </c>
      <c r="G63" s="47" t="s">
        <v>6232</v>
      </c>
      <c r="H63" s="26" t="s">
        <v>6223</v>
      </c>
      <c r="I63" s="47" t="s">
        <v>6232</v>
      </c>
      <c r="J63" s="26" t="s">
        <v>6224</v>
      </c>
      <c r="K63" s="27"/>
      <c r="L63" s="28" t="s">
        <v>6223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4579</v>
      </c>
      <c r="C64" s="44" t="s">
        <v>4580</v>
      </c>
      <c r="D64" s="42" t="s">
        <v>21</v>
      </c>
      <c r="E64" s="46">
        <v>46125</v>
      </c>
      <c r="F64" s="26" t="s">
        <v>6222</v>
      </c>
      <c r="G64" s="47" t="s">
        <v>6232</v>
      </c>
      <c r="H64" s="26" t="s">
        <v>6223</v>
      </c>
      <c r="I64" s="47" t="s">
        <v>6232</v>
      </c>
      <c r="J64" s="26" t="s">
        <v>6224</v>
      </c>
      <c r="K64" s="27"/>
      <c r="L64" s="28" t="s">
        <v>6223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4581</v>
      </c>
      <c r="C65" s="25" t="s">
        <v>4582</v>
      </c>
      <c r="D65" s="23" t="s">
        <v>21</v>
      </c>
      <c r="E65" s="46">
        <v>46125</v>
      </c>
      <c r="F65" s="26" t="s">
        <v>6222</v>
      </c>
      <c r="G65" s="47" t="s">
        <v>6232</v>
      </c>
      <c r="H65" s="26" t="s">
        <v>6223</v>
      </c>
      <c r="I65" s="47" t="s">
        <v>6232</v>
      </c>
      <c r="J65" s="26" t="s">
        <v>6224</v>
      </c>
      <c r="K65" s="27"/>
      <c r="L65" s="28" t="s">
        <v>6223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4583</v>
      </c>
      <c r="C66" s="44" t="s">
        <v>4584</v>
      </c>
      <c r="D66" s="42" t="s">
        <v>21</v>
      </c>
      <c r="E66" s="46">
        <v>46125</v>
      </c>
      <c r="F66" s="26" t="s">
        <v>6222</v>
      </c>
      <c r="G66" s="47" t="s">
        <v>6232</v>
      </c>
      <c r="H66" s="26" t="s">
        <v>6223</v>
      </c>
      <c r="I66" s="47" t="s">
        <v>6232</v>
      </c>
      <c r="J66" s="26" t="s">
        <v>6224</v>
      </c>
      <c r="K66" s="27"/>
      <c r="L66" s="28" t="s">
        <v>6223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4585</v>
      </c>
      <c r="C67" s="25" t="s">
        <v>4586</v>
      </c>
      <c r="D67" s="23" t="s">
        <v>21</v>
      </c>
      <c r="E67" s="46">
        <v>46125</v>
      </c>
      <c r="F67" s="26" t="s">
        <v>6222</v>
      </c>
      <c r="G67" s="47" t="s">
        <v>6232</v>
      </c>
      <c r="H67" s="26" t="s">
        <v>6223</v>
      </c>
      <c r="I67" s="47" t="s">
        <v>6232</v>
      </c>
      <c r="J67" s="26" t="s">
        <v>6224</v>
      </c>
      <c r="K67" s="27"/>
      <c r="L67" s="28" t="s">
        <v>6223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4587</v>
      </c>
      <c r="C68" s="44" t="s">
        <v>4588</v>
      </c>
      <c r="D68" s="42" t="s">
        <v>21</v>
      </c>
      <c r="E68" s="46">
        <v>46125</v>
      </c>
      <c r="F68" s="26" t="s">
        <v>6222</v>
      </c>
      <c r="G68" s="47" t="s">
        <v>6232</v>
      </c>
      <c r="H68" s="26" t="s">
        <v>6223</v>
      </c>
      <c r="I68" s="47" t="s">
        <v>6232</v>
      </c>
      <c r="J68" s="26" t="s">
        <v>6224</v>
      </c>
      <c r="K68" s="27"/>
      <c r="L68" s="28" t="s">
        <v>6223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4589</v>
      </c>
      <c r="C69" s="25" t="s">
        <v>4590</v>
      </c>
      <c r="D69" s="23" t="s">
        <v>21</v>
      </c>
      <c r="E69" s="46">
        <v>46125</v>
      </c>
      <c r="F69" s="26" t="s">
        <v>6222</v>
      </c>
      <c r="G69" s="47" t="s">
        <v>6232</v>
      </c>
      <c r="H69" s="26" t="s">
        <v>6223</v>
      </c>
      <c r="I69" s="47" t="s">
        <v>6232</v>
      </c>
      <c r="J69" s="26" t="s">
        <v>6224</v>
      </c>
      <c r="K69" s="27"/>
      <c r="L69" s="28" t="s">
        <v>6223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4591</v>
      </c>
      <c r="C70" s="44" t="s">
        <v>4592</v>
      </c>
      <c r="D70" s="42" t="s">
        <v>21</v>
      </c>
      <c r="E70" s="46">
        <v>46125</v>
      </c>
      <c r="F70" s="26" t="s">
        <v>6222</v>
      </c>
      <c r="G70" s="47" t="s">
        <v>6232</v>
      </c>
      <c r="H70" s="26" t="s">
        <v>6223</v>
      </c>
      <c r="I70" s="47" t="s">
        <v>6232</v>
      </c>
      <c r="J70" s="26" t="s">
        <v>6224</v>
      </c>
      <c r="K70" s="27"/>
      <c r="L70" s="28" t="s">
        <v>6223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4593</v>
      </c>
      <c r="C71" s="25" t="s">
        <v>4594</v>
      </c>
      <c r="D71" s="23" t="s">
        <v>21</v>
      </c>
      <c r="E71" s="46">
        <v>46125</v>
      </c>
      <c r="F71" s="26" t="s">
        <v>6222</v>
      </c>
      <c r="G71" s="47" t="s">
        <v>6232</v>
      </c>
      <c r="H71" s="26" t="s">
        <v>6223</v>
      </c>
      <c r="I71" s="47" t="s">
        <v>6232</v>
      </c>
      <c r="J71" s="26" t="s">
        <v>6224</v>
      </c>
      <c r="K71" s="27"/>
      <c r="L71" s="28" t="s">
        <v>6223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4595</v>
      </c>
      <c r="C72" s="44" t="s">
        <v>4596</v>
      </c>
      <c r="D72" s="42" t="s">
        <v>21</v>
      </c>
      <c r="E72" s="46">
        <v>46125</v>
      </c>
      <c r="F72" s="26" t="s">
        <v>6222</v>
      </c>
      <c r="G72" s="47" t="s">
        <v>6224</v>
      </c>
      <c r="H72" s="26" t="s">
        <v>6223</v>
      </c>
      <c r="I72" s="47" t="s">
        <v>6225</v>
      </c>
      <c r="J72" s="26" t="s">
        <v>6224</v>
      </c>
      <c r="K72" s="27"/>
      <c r="L72" s="28" t="s">
        <v>6223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4597</v>
      </c>
      <c r="C73" s="25" t="s">
        <v>4598</v>
      </c>
      <c r="D73" s="23" t="s">
        <v>21</v>
      </c>
      <c r="E73" s="46">
        <v>46125</v>
      </c>
      <c r="F73" s="26" t="s">
        <v>6222</v>
      </c>
      <c r="G73" s="47" t="s">
        <v>6232</v>
      </c>
      <c r="H73" s="26" t="s">
        <v>6223</v>
      </c>
      <c r="I73" s="47" t="s">
        <v>6232</v>
      </c>
      <c r="J73" s="26" t="s">
        <v>6224</v>
      </c>
      <c r="K73" s="27"/>
      <c r="L73" s="28" t="s">
        <v>6223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4599</v>
      </c>
      <c r="C74" s="44" t="s">
        <v>4600</v>
      </c>
      <c r="D74" s="42" t="s">
        <v>21</v>
      </c>
      <c r="E74" s="46">
        <v>46125</v>
      </c>
      <c r="F74" s="26" t="s">
        <v>6222</v>
      </c>
      <c r="G74" s="47" t="s">
        <v>6232</v>
      </c>
      <c r="H74" s="26" t="s">
        <v>6223</v>
      </c>
      <c r="I74" s="47" t="s">
        <v>6232</v>
      </c>
      <c r="J74" s="26" t="s">
        <v>6224</v>
      </c>
      <c r="K74" s="27"/>
      <c r="L74" s="28" t="s">
        <v>6223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4601</v>
      </c>
      <c r="C75" s="25" t="s">
        <v>4602</v>
      </c>
      <c r="D75" s="23" t="s">
        <v>21</v>
      </c>
      <c r="E75" s="46">
        <v>46125</v>
      </c>
      <c r="F75" s="26" t="s">
        <v>6222</v>
      </c>
      <c r="G75" s="47" t="s">
        <v>6232</v>
      </c>
      <c r="H75" s="26" t="s">
        <v>6223</v>
      </c>
      <c r="I75" s="47" t="s">
        <v>6232</v>
      </c>
      <c r="J75" s="26" t="s">
        <v>6224</v>
      </c>
      <c r="K75" s="27"/>
      <c r="L75" s="28" t="s">
        <v>6223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4603</v>
      </c>
      <c r="C76" s="44" t="s">
        <v>4604</v>
      </c>
      <c r="D76" s="42" t="s">
        <v>21</v>
      </c>
      <c r="E76" s="46">
        <v>46125</v>
      </c>
      <c r="F76" s="26" t="s">
        <v>6222</v>
      </c>
      <c r="G76" s="47" t="s">
        <v>6232</v>
      </c>
      <c r="H76" s="26" t="s">
        <v>6223</v>
      </c>
      <c r="I76" s="47" t="s">
        <v>6232</v>
      </c>
      <c r="J76" s="26" t="s">
        <v>6224</v>
      </c>
      <c r="K76" s="27"/>
      <c r="L76" s="28" t="s">
        <v>6223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4605</v>
      </c>
      <c r="C77" s="25" t="s">
        <v>4606</v>
      </c>
      <c r="D77" s="23" t="s">
        <v>21</v>
      </c>
      <c r="E77" s="46">
        <v>46125</v>
      </c>
      <c r="F77" s="26" t="s">
        <v>6222</v>
      </c>
      <c r="G77" s="47" t="s">
        <v>6232</v>
      </c>
      <c r="H77" s="26" t="s">
        <v>6223</v>
      </c>
      <c r="I77" s="47" t="s">
        <v>6232</v>
      </c>
      <c r="J77" s="26" t="s">
        <v>6224</v>
      </c>
      <c r="K77" s="27"/>
      <c r="L77" s="28" t="s">
        <v>6223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4607</v>
      </c>
      <c r="C78" s="44" t="s">
        <v>4608</v>
      </c>
      <c r="D78" s="42" t="s">
        <v>21</v>
      </c>
      <c r="E78" s="46">
        <v>46125</v>
      </c>
      <c r="F78" s="26" t="s">
        <v>6222</v>
      </c>
      <c r="G78" s="47" t="s">
        <v>6232</v>
      </c>
      <c r="H78" s="26" t="s">
        <v>6223</v>
      </c>
      <c r="I78" s="47" t="s">
        <v>6232</v>
      </c>
      <c r="J78" s="26" t="s">
        <v>6224</v>
      </c>
      <c r="K78" s="27"/>
      <c r="L78" s="28" t="s">
        <v>6223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4609</v>
      </c>
      <c r="C79" s="25" t="s">
        <v>4610</v>
      </c>
      <c r="D79" s="23" t="s">
        <v>21</v>
      </c>
      <c r="E79" s="46">
        <v>46125</v>
      </c>
      <c r="F79" s="26" t="s">
        <v>6222</v>
      </c>
      <c r="G79" s="47" t="s">
        <v>6232</v>
      </c>
      <c r="H79" s="26" t="s">
        <v>6223</v>
      </c>
      <c r="I79" s="47" t="s">
        <v>6232</v>
      </c>
      <c r="J79" s="26" t="s">
        <v>6224</v>
      </c>
      <c r="K79" s="27"/>
      <c r="L79" s="28" t="s">
        <v>6223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4611</v>
      </c>
      <c r="C80" s="44" t="s">
        <v>4612</v>
      </c>
      <c r="D80" s="42" t="s">
        <v>21</v>
      </c>
      <c r="E80" s="46">
        <v>46125</v>
      </c>
      <c r="F80" s="26" t="s">
        <v>6222</v>
      </c>
      <c r="G80" s="47" t="s">
        <v>6232</v>
      </c>
      <c r="H80" s="26" t="s">
        <v>6223</v>
      </c>
      <c r="I80" s="47" t="s">
        <v>6232</v>
      </c>
      <c r="J80" s="26" t="s">
        <v>6224</v>
      </c>
      <c r="K80" s="27"/>
      <c r="L80" s="28" t="s">
        <v>6223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43" priority="2">
      <formula>G5="Yes"</formula>
    </cfRule>
    <cfRule type="expression" dxfId="142" priority="3">
      <formula>G5="No"</formula>
    </cfRule>
    <cfRule type="expression" dxfId="141" priority="4">
      <formula>MOD(ROW(),2)=0</formula>
    </cfRule>
  </conditionalFormatting>
  <conditionalFormatting sqref="H5:H80">
    <cfRule type="expression" dxfId="140" priority="11">
      <formula>H5="Yes"</formula>
    </cfRule>
  </conditionalFormatting>
  <conditionalFormatting sqref="I5:I80">
    <cfRule type="expression" dxfId="139" priority="1">
      <formula>MOD(ROW(),2)=0</formula>
    </cfRule>
  </conditionalFormatting>
  <conditionalFormatting sqref="J5:J80">
    <cfRule type="expression" dxfId="138" priority="12">
      <formula>J5="Yes"</formula>
    </cfRule>
    <cfRule type="expression" dxfId="137" priority="13">
      <formula>J5="No"</formula>
    </cfRule>
  </conditionalFormatting>
  <conditionalFormatting sqref="J5:AW80 H5:H80 A5:F80">
    <cfRule type="expression" dxfId="136" priority="50">
      <formula>MOD(ROW(),2)=0</formula>
    </cfRule>
  </conditionalFormatting>
  <conditionalFormatting sqref="M5:M80">
    <cfRule type="expression" dxfId="135" priority="5">
      <formula>M5="✓ OK"</formula>
    </cfRule>
    <cfRule type="expression" dxfId="134" priority="6">
      <formula>M5="❌ Disc"</formula>
    </cfRule>
    <cfRule type="expression" dxfId="133" priority="7">
      <formula>M5="⚠ Missing"</formula>
    </cfRule>
    <cfRule type="expression" dxfId="132" priority="8">
      <formula>M5="⚠ Check"</formula>
    </cfRule>
  </conditionalFormatting>
  <conditionalFormatting sqref="P5:P80">
    <cfRule type="expression" dxfId="131" priority="18">
      <formula>P5="Yes"</formula>
    </cfRule>
    <cfRule type="expression" dxfId="130" priority="19">
      <formula>P5="No"</formula>
    </cfRule>
  </conditionalFormatting>
  <conditionalFormatting sqref="Q5:Q80">
    <cfRule type="expression" dxfId="129" priority="20">
      <formula>Q5="Yes"</formula>
    </cfRule>
  </conditionalFormatting>
  <conditionalFormatting sqref="S5:S80">
    <cfRule type="expression" dxfId="128" priority="21">
      <formula>S5="Yes"</formula>
    </cfRule>
    <cfRule type="expression" dxfId="127" priority="22">
      <formula>S5="No"</formula>
    </cfRule>
  </conditionalFormatting>
  <conditionalFormatting sqref="V5:V80">
    <cfRule type="expression" dxfId="126" priority="14">
      <formula>V5="✓ OK"</formula>
    </cfRule>
    <cfRule type="expression" dxfId="125" priority="15">
      <formula>V5="❌ Disc"</formula>
    </cfRule>
    <cfRule type="expression" dxfId="124" priority="16">
      <formula>V5="⚠ Missing"</formula>
    </cfRule>
    <cfRule type="expression" dxfId="123" priority="17">
      <formula>V5="⚠ Check"</formula>
    </cfRule>
  </conditionalFormatting>
  <conditionalFormatting sqref="Y5:Y80">
    <cfRule type="expression" dxfId="122" priority="28">
      <formula>Y5="No"</formula>
    </cfRule>
    <cfRule type="expression" dxfId="121" priority="27">
      <formula>Y5="Yes"</formula>
    </cfRule>
  </conditionalFormatting>
  <conditionalFormatting sqref="Z5:Z80">
    <cfRule type="expression" dxfId="120" priority="29">
      <formula>Z5="Yes"</formula>
    </cfRule>
  </conditionalFormatting>
  <conditionalFormatting sqref="AB5:AB80">
    <cfRule type="expression" dxfId="119" priority="30">
      <formula>AB5="Yes"</formula>
    </cfRule>
    <cfRule type="expression" dxfId="118" priority="31">
      <formula>AB5="No"</formula>
    </cfRule>
  </conditionalFormatting>
  <conditionalFormatting sqref="AE5:AE80">
    <cfRule type="expression" dxfId="117" priority="23">
      <formula>AE5="✓ OK"</formula>
    </cfRule>
    <cfRule type="expression" dxfId="116" priority="24">
      <formula>AE5="❌ Disc"</formula>
    </cfRule>
    <cfRule type="expression" dxfId="115" priority="25">
      <formula>AE5="⚠ Missing"</formula>
    </cfRule>
    <cfRule type="expression" dxfId="114" priority="26">
      <formula>AE5="⚠ Check"</formula>
    </cfRule>
  </conditionalFormatting>
  <conditionalFormatting sqref="AH5:AH80">
    <cfRule type="expression" dxfId="113" priority="36">
      <formula>AH5="Yes"</formula>
    </cfRule>
    <cfRule type="expression" dxfId="112" priority="37">
      <formula>AH5="No"</formula>
    </cfRule>
  </conditionalFormatting>
  <conditionalFormatting sqref="AI5:AI80">
    <cfRule type="expression" dxfId="111" priority="38">
      <formula>AI5="Yes"</formula>
    </cfRule>
  </conditionalFormatting>
  <conditionalFormatting sqref="AK5:AK80">
    <cfRule type="expression" dxfId="110" priority="39">
      <formula>AK5="Yes"</formula>
    </cfRule>
    <cfRule type="expression" dxfId="109" priority="40">
      <formula>AK5="No"</formula>
    </cfRule>
  </conditionalFormatting>
  <conditionalFormatting sqref="AN5:AN80">
    <cfRule type="expression" dxfId="108" priority="32">
      <formula>AN5="✓ OK"</formula>
    </cfRule>
    <cfRule type="expression" dxfId="107" priority="33">
      <formula>AN5="❌ Disc"</formula>
    </cfRule>
    <cfRule type="expression" dxfId="106" priority="34">
      <formula>AN5="⚠ Missing"</formula>
    </cfRule>
    <cfRule type="expression" dxfId="105" priority="35">
      <formula>AN5="⚠ Check"</formula>
    </cfRule>
  </conditionalFormatting>
  <conditionalFormatting sqref="AQ5:AQ80">
    <cfRule type="expression" dxfId="104" priority="45">
      <formula>AQ5="Yes"</formula>
    </cfRule>
    <cfRule type="expression" dxfId="103" priority="46">
      <formula>AQ5="No"</formula>
    </cfRule>
  </conditionalFormatting>
  <conditionalFormatting sqref="AR5:AR80">
    <cfRule type="expression" dxfId="102" priority="47">
      <formula>AR5="Yes"</formula>
    </cfRule>
  </conditionalFormatting>
  <conditionalFormatting sqref="AT5:AT80">
    <cfRule type="expression" dxfId="101" priority="48">
      <formula>AT5="Yes"</formula>
    </cfRule>
    <cfRule type="expression" dxfId="100" priority="49">
      <formula>AT5="No"</formula>
    </cfRule>
  </conditionalFormatting>
  <conditionalFormatting sqref="AW5:AW80">
    <cfRule type="expression" dxfId="99" priority="41">
      <formula>AW5="✓ OK"</formula>
    </cfRule>
    <cfRule type="expression" dxfId="98" priority="42">
      <formula>AW5="❌ Disc"</formula>
    </cfRule>
    <cfRule type="expression" dxfId="97" priority="43">
      <formula>AW5="⚠ Missing"</formula>
    </cfRule>
    <cfRule type="expression" dxfId="96" priority="44">
      <formula>AW5="⚠ Check"</formula>
    </cfRule>
  </conditionalFormatting>
  <dataValidations count="4">
    <dataValidation type="list" allowBlank="1" sqref="AT5:AT80 AQ5:AR80 AK5:AK80 AH5:AI80 AB5:AB80 Y5:Z80 S5:S80 P5:Q80 H5:H80 J5:J80" xr:uid="{00000000-0002-0000-0A00-000000000000}">
      <formula1>"Yes,No"</formula1>
    </dataValidation>
    <dataValidation type="list" allowBlank="1" sqref="R5:R80 AS5:AS80 AJ5:AJ80 AA5:AA80" xr:uid="{00000000-0002-0000-0A00-000003000000}">
      <formula1>"Good finish,Minor defect,Major defect,Discontinued,Not Available"</formula1>
    </dataValidation>
    <dataValidation type="list" allowBlank="1" sqref="G5:G80" xr:uid="{7CB18CE8-C4FA-44E9-BA08-9EF694BF4A35}">
      <formula1>"Yes,No,Represented by Sample"</formula1>
    </dataValidation>
    <dataValidation type="list" allowBlank="1" sqref="I5:I80" xr:uid="{EC4EA40F-9050-4934-87A1-CFC61F1E9A68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F5" activePane="bottomRight" state="frozen"/>
      <selection pane="topRight" activeCell="AU16" sqref="AU16"/>
      <selection pane="bottomLeft" activeCell="AU16" sqref="AU16"/>
      <selection pane="bottomRight" activeCell="G5" sqref="G5"/>
    </sheetView>
  </sheetViews>
  <sheetFormatPr defaultRowHeight="14.4" x14ac:dyDescent="0.3"/>
  <cols>
    <col min="1" max="1" width="4" customWidth="1"/>
    <col min="2" max="2" width="16" customWidth="1"/>
    <col min="3" max="3" width="56.5546875" bestFit="1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4613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4614</v>
      </c>
      <c r="C5" s="25" t="s">
        <v>4615</v>
      </c>
      <c r="D5" s="23" t="s">
        <v>4616</v>
      </c>
      <c r="E5" s="46">
        <v>46125</v>
      </c>
      <c r="F5" s="26" t="s">
        <v>6222</v>
      </c>
      <c r="G5" s="47" t="s">
        <v>6224</v>
      </c>
      <c r="H5" s="26" t="s">
        <v>6223</v>
      </c>
      <c r="I5" s="47" t="s">
        <v>6225</v>
      </c>
      <c r="J5" s="26" t="s">
        <v>6224</v>
      </c>
      <c r="K5" s="27"/>
      <c r="L5" s="28" t="s">
        <v>6223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4617</v>
      </c>
      <c r="C6" s="44" t="s">
        <v>4618</v>
      </c>
      <c r="D6" s="42" t="s">
        <v>4616</v>
      </c>
      <c r="E6" s="46">
        <v>46125</v>
      </c>
      <c r="F6" s="26" t="s">
        <v>6222</v>
      </c>
      <c r="G6" s="47" t="s">
        <v>6232</v>
      </c>
      <c r="H6" s="26" t="s">
        <v>6223</v>
      </c>
      <c r="I6" s="47" t="s">
        <v>6232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4619</v>
      </c>
      <c r="C7" s="25" t="s">
        <v>4620</v>
      </c>
      <c r="D7" s="23" t="s">
        <v>4616</v>
      </c>
      <c r="E7" s="46">
        <v>46125</v>
      </c>
      <c r="F7" s="26" t="s">
        <v>6222</v>
      </c>
      <c r="G7" s="47" t="s">
        <v>6232</v>
      </c>
      <c r="H7" s="26" t="s">
        <v>6223</v>
      </c>
      <c r="I7" s="47" t="s">
        <v>6232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4621</v>
      </c>
      <c r="C8" s="44" t="s">
        <v>4622</v>
      </c>
      <c r="D8" s="42" t="s">
        <v>4616</v>
      </c>
      <c r="E8" s="46">
        <v>46125</v>
      </c>
      <c r="F8" s="26" t="s">
        <v>6222</v>
      </c>
      <c r="G8" s="47" t="s">
        <v>6224</v>
      </c>
      <c r="H8" s="26" t="s">
        <v>6223</v>
      </c>
      <c r="I8" s="47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4623</v>
      </c>
      <c r="C9" s="25" t="s">
        <v>4624</v>
      </c>
      <c r="D9" s="23" t="s">
        <v>4616</v>
      </c>
      <c r="E9" s="46">
        <v>46125</v>
      </c>
      <c r="F9" s="26" t="s">
        <v>6222</v>
      </c>
      <c r="G9" s="47" t="s">
        <v>6224</v>
      </c>
      <c r="H9" s="26" t="s">
        <v>6223</v>
      </c>
      <c r="I9" s="47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4625</v>
      </c>
      <c r="C10" s="44" t="s">
        <v>4626</v>
      </c>
      <c r="D10" s="42" t="s">
        <v>4616</v>
      </c>
      <c r="E10" s="46">
        <v>46125</v>
      </c>
      <c r="F10" s="26" t="s">
        <v>6222</v>
      </c>
      <c r="G10" s="47" t="s">
        <v>6232</v>
      </c>
      <c r="H10" s="26" t="s">
        <v>6223</v>
      </c>
      <c r="I10" s="47" t="s">
        <v>6232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4627</v>
      </c>
      <c r="C11" s="25" t="s">
        <v>4628</v>
      </c>
      <c r="D11" s="23" t="s">
        <v>4616</v>
      </c>
      <c r="E11" s="46">
        <v>46125</v>
      </c>
      <c r="F11" s="26" t="s">
        <v>6222</v>
      </c>
      <c r="G11" s="47" t="s">
        <v>6232</v>
      </c>
      <c r="H11" s="26" t="s">
        <v>6223</v>
      </c>
      <c r="I11" s="47" t="s">
        <v>6232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4629</v>
      </c>
      <c r="C12" s="44" t="s">
        <v>4630</v>
      </c>
      <c r="D12" s="42" t="s">
        <v>4616</v>
      </c>
      <c r="E12" s="46">
        <v>46125</v>
      </c>
      <c r="F12" s="26" t="s">
        <v>6222</v>
      </c>
      <c r="G12" s="47" t="s">
        <v>6232</v>
      </c>
      <c r="H12" s="26" t="s">
        <v>6223</v>
      </c>
      <c r="I12" s="47" t="s">
        <v>6232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4631</v>
      </c>
      <c r="C13" s="25" t="s">
        <v>4632</v>
      </c>
      <c r="D13" s="23" t="s">
        <v>4616</v>
      </c>
      <c r="E13" s="46">
        <v>46125</v>
      </c>
      <c r="F13" s="26" t="s">
        <v>6222</v>
      </c>
      <c r="G13" s="47" t="s">
        <v>6232</v>
      </c>
      <c r="H13" s="26" t="s">
        <v>6223</v>
      </c>
      <c r="I13" s="47" t="s">
        <v>6232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4633</v>
      </c>
      <c r="C14" s="44" t="s">
        <v>4634</v>
      </c>
      <c r="D14" s="42" t="s">
        <v>4616</v>
      </c>
      <c r="E14" s="46">
        <v>46125</v>
      </c>
      <c r="F14" s="26" t="s">
        <v>6222</v>
      </c>
      <c r="G14" s="47" t="s">
        <v>6232</v>
      </c>
      <c r="H14" s="26" t="s">
        <v>6223</v>
      </c>
      <c r="I14" s="47" t="s">
        <v>6232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4635</v>
      </c>
      <c r="C15" s="25" t="s">
        <v>4636</v>
      </c>
      <c r="D15" s="23" t="s">
        <v>4616</v>
      </c>
      <c r="E15" s="46">
        <v>46125</v>
      </c>
      <c r="F15" s="26" t="s">
        <v>6222</v>
      </c>
      <c r="G15" s="47" t="s">
        <v>6232</v>
      </c>
      <c r="H15" s="26" t="s">
        <v>6223</v>
      </c>
      <c r="I15" s="47" t="s">
        <v>6232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4637</v>
      </c>
      <c r="C16" s="44" t="s">
        <v>4638</v>
      </c>
      <c r="D16" s="42" t="s">
        <v>4616</v>
      </c>
      <c r="E16" s="46">
        <v>46125</v>
      </c>
      <c r="F16" s="26" t="s">
        <v>6222</v>
      </c>
      <c r="G16" s="47" t="s">
        <v>6232</v>
      </c>
      <c r="H16" s="26" t="s">
        <v>6223</v>
      </c>
      <c r="I16" s="47" t="s">
        <v>6232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4639</v>
      </c>
      <c r="C17" s="25" t="s">
        <v>4640</v>
      </c>
      <c r="D17" s="23" t="s">
        <v>4616</v>
      </c>
      <c r="E17" s="46">
        <v>46125</v>
      </c>
      <c r="F17" s="26" t="s">
        <v>6222</v>
      </c>
      <c r="G17" s="47" t="s">
        <v>6232</v>
      </c>
      <c r="H17" s="26" t="s">
        <v>6223</v>
      </c>
      <c r="I17" s="47" t="s">
        <v>6232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4641</v>
      </c>
      <c r="C18" s="44" t="s">
        <v>4642</v>
      </c>
      <c r="D18" s="42" t="s">
        <v>4616</v>
      </c>
      <c r="E18" s="46">
        <v>46125</v>
      </c>
      <c r="F18" s="26" t="s">
        <v>6222</v>
      </c>
      <c r="G18" s="47" t="s">
        <v>6232</v>
      </c>
      <c r="H18" s="26" t="s">
        <v>6223</v>
      </c>
      <c r="I18" s="47" t="s">
        <v>6232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4643</v>
      </c>
      <c r="C19" s="25" t="s">
        <v>4644</v>
      </c>
      <c r="D19" s="23" t="s">
        <v>4616</v>
      </c>
      <c r="E19" s="46">
        <v>46125</v>
      </c>
      <c r="F19" s="26" t="s">
        <v>6222</v>
      </c>
      <c r="G19" s="47" t="s">
        <v>6224</v>
      </c>
      <c r="H19" s="26" t="s">
        <v>6223</v>
      </c>
      <c r="I19" s="47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4645</v>
      </c>
      <c r="C20" s="44" t="s">
        <v>4646</v>
      </c>
      <c r="D20" s="42" t="s">
        <v>4616</v>
      </c>
      <c r="E20" s="46">
        <v>46125</v>
      </c>
      <c r="F20" s="26" t="s">
        <v>6222</v>
      </c>
      <c r="G20" s="47" t="s">
        <v>6232</v>
      </c>
      <c r="H20" s="26" t="s">
        <v>6223</v>
      </c>
      <c r="I20" s="47" t="s">
        <v>6232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4647</v>
      </c>
      <c r="C21" s="25" t="s">
        <v>4648</v>
      </c>
      <c r="D21" s="23" t="s">
        <v>4616</v>
      </c>
      <c r="E21" s="46">
        <v>46125</v>
      </c>
      <c r="F21" s="26" t="s">
        <v>6222</v>
      </c>
      <c r="G21" s="47" t="s">
        <v>6232</v>
      </c>
      <c r="H21" s="26" t="s">
        <v>6223</v>
      </c>
      <c r="I21" s="47" t="s">
        <v>6232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4649</v>
      </c>
      <c r="C22" s="44" t="s">
        <v>4650</v>
      </c>
      <c r="D22" s="42" t="s">
        <v>4616</v>
      </c>
      <c r="E22" s="46">
        <v>46125</v>
      </c>
      <c r="F22" s="26" t="s">
        <v>6222</v>
      </c>
      <c r="G22" s="47" t="s">
        <v>6232</v>
      </c>
      <c r="H22" s="26" t="s">
        <v>6223</v>
      </c>
      <c r="I22" s="47" t="s">
        <v>6232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4651</v>
      </c>
      <c r="C23" s="25" t="s">
        <v>4652</v>
      </c>
      <c r="D23" s="23" t="s">
        <v>4616</v>
      </c>
      <c r="E23" s="46">
        <v>46125</v>
      </c>
      <c r="F23" s="26" t="s">
        <v>6222</v>
      </c>
      <c r="G23" s="47" t="s">
        <v>6232</v>
      </c>
      <c r="H23" s="26" t="s">
        <v>6223</v>
      </c>
      <c r="I23" s="47" t="s">
        <v>6232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4653</v>
      </c>
      <c r="C24" s="44" t="s">
        <v>4654</v>
      </c>
      <c r="D24" s="42" t="s">
        <v>4616</v>
      </c>
      <c r="E24" s="46">
        <v>46125</v>
      </c>
      <c r="F24" s="26" t="s">
        <v>6222</v>
      </c>
      <c r="G24" s="47" t="s">
        <v>6232</v>
      </c>
      <c r="H24" s="26" t="s">
        <v>6223</v>
      </c>
      <c r="I24" s="47" t="s">
        <v>6232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4655</v>
      </c>
      <c r="C25" s="25" t="s">
        <v>4656</v>
      </c>
      <c r="D25" s="23" t="s">
        <v>4616</v>
      </c>
      <c r="E25" s="46">
        <v>46125</v>
      </c>
      <c r="F25" s="26" t="s">
        <v>6222</v>
      </c>
      <c r="G25" s="47" t="s">
        <v>6232</v>
      </c>
      <c r="H25" s="26" t="s">
        <v>6223</v>
      </c>
      <c r="I25" s="47" t="s">
        <v>6232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4657</v>
      </c>
      <c r="C26" s="44" t="s">
        <v>4658</v>
      </c>
      <c r="D26" s="42" t="s">
        <v>4616</v>
      </c>
      <c r="E26" s="46">
        <v>46125</v>
      </c>
      <c r="F26" s="26" t="s">
        <v>6222</v>
      </c>
      <c r="G26" s="47" t="s">
        <v>6232</v>
      </c>
      <c r="H26" s="26" t="s">
        <v>6223</v>
      </c>
      <c r="I26" s="47" t="s">
        <v>6232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4659</v>
      </c>
      <c r="C27" s="25" t="s">
        <v>4660</v>
      </c>
      <c r="D27" s="23" t="s">
        <v>4616</v>
      </c>
      <c r="E27" s="46">
        <v>46125</v>
      </c>
      <c r="F27" s="26" t="s">
        <v>6222</v>
      </c>
      <c r="G27" s="47" t="s">
        <v>6232</v>
      </c>
      <c r="H27" s="26" t="s">
        <v>6223</v>
      </c>
      <c r="I27" s="47" t="s">
        <v>6232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4661</v>
      </c>
      <c r="C28" s="44" t="s">
        <v>4662</v>
      </c>
      <c r="D28" s="42" t="s">
        <v>4616</v>
      </c>
      <c r="E28" s="46">
        <v>46125</v>
      </c>
      <c r="F28" s="26" t="s">
        <v>6222</v>
      </c>
      <c r="G28" s="47" t="s">
        <v>6232</v>
      </c>
      <c r="H28" s="26" t="s">
        <v>6223</v>
      </c>
      <c r="I28" s="47" t="s">
        <v>6232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4663</v>
      </c>
      <c r="C29" s="25" t="s">
        <v>4664</v>
      </c>
      <c r="D29" s="23" t="s">
        <v>4616</v>
      </c>
      <c r="E29" s="46">
        <v>46125</v>
      </c>
      <c r="F29" s="26" t="s">
        <v>6222</v>
      </c>
      <c r="G29" s="47" t="s">
        <v>6232</v>
      </c>
      <c r="H29" s="26" t="s">
        <v>6223</v>
      </c>
      <c r="I29" s="47" t="s">
        <v>6232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4665</v>
      </c>
      <c r="C30" s="44" t="s">
        <v>4666</v>
      </c>
      <c r="D30" s="42" t="s">
        <v>4616</v>
      </c>
      <c r="E30" s="46">
        <v>46125</v>
      </c>
      <c r="F30" s="26" t="s">
        <v>6222</v>
      </c>
      <c r="G30" s="47" t="s">
        <v>6224</v>
      </c>
      <c r="H30" s="26" t="s">
        <v>6223</v>
      </c>
      <c r="I30" s="47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4667</v>
      </c>
      <c r="C31" s="25" t="s">
        <v>4668</v>
      </c>
      <c r="D31" s="23" t="s">
        <v>4616</v>
      </c>
      <c r="E31" s="46">
        <v>46125</v>
      </c>
      <c r="F31" s="26" t="s">
        <v>6222</v>
      </c>
      <c r="G31" s="47" t="s">
        <v>6232</v>
      </c>
      <c r="H31" s="26" t="s">
        <v>6223</v>
      </c>
      <c r="I31" s="47" t="s">
        <v>6232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4669</v>
      </c>
      <c r="C32" s="44" t="s">
        <v>4670</v>
      </c>
      <c r="D32" s="42" t="s">
        <v>4616</v>
      </c>
      <c r="E32" s="46">
        <v>46125</v>
      </c>
      <c r="F32" s="26" t="s">
        <v>6222</v>
      </c>
      <c r="G32" s="47" t="s">
        <v>6232</v>
      </c>
      <c r="H32" s="26" t="s">
        <v>6223</v>
      </c>
      <c r="I32" s="47" t="s">
        <v>6232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4671</v>
      </c>
      <c r="C33" s="25" t="s">
        <v>4672</v>
      </c>
      <c r="D33" s="23" t="s">
        <v>4616</v>
      </c>
      <c r="E33" s="46">
        <v>46125</v>
      </c>
      <c r="F33" s="26" t="s">
        <v>6222</v>
      </c>
      <c r="G33" s="47" t="s">
        <v>6232</v>
      </c>
      <c r="H33" s="26" t="s">
        <v>6223</v>
      </c>
      <c r="I33" s="47" t="s">
        <v>6232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4673</v>
      </c>
      <c r="C34" s="44" t="s">
        <v>4674</v>
      </c>
      <c r="D34" s="42" t="s">
        <v>4616</v>
      </c>
      <c r="E34" s="46">
        <v>46125</v>
      </c>
      <c r="F34" s="26" t="s">
        <v>6222</v>
      </c>
      <c r="G34" s="47" t="s">
        <v>6232</v>
      </c>
      <c r="H34" s="26" t="s">
        <v>6223</v>
      </c>
      <c r="I34" s="47" t="s">
        <v>6232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4675</v>
      </c>
      <c r="C35" s="25" t="s">
        <v>4676</v>
      </c>
      <c r="D35" s="23" t="s">
        <v>4616</v>
      </c>
      <c r="E35" s="46">
        <v>46125</v>
      </c>
      <c r="F35" s="26" t="s">
        <v>6222</v>
      </c>
      <c r="G35" s="47" t="s">
        <v>6232</v>
      </c>
      <c r="H35" s="26" t="s">
        <v>6223</v>
      </c>
      <c r="I35" s="47" t="s">
        <v>6232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4677</v>
      </c>
      <c r="C36" s="44" t="s">
        <v>4678</v>
      </c>
      <c r="D36" s="42" t="s">
        <v>4616</v>
      </c>
      <c r="E36" s="46">
        <v>46125</v>
      </c>
      <c r="F36" s="26" t="s">
        <v>6222</v>
      </c>
      <c r="G36" s="47" t="s">
        <v>6232</v>
      </c>
      <c r="H36" s="26" t="s">
        <v>6223</v>
      </c>
      <c r="I36" s="47" t="s">
        <v>6232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4679</v>
      </c>
      <c r="C37" s="25" t="s">
        <v>4680</v>
      </c>
      <c r="D37" s="23" t="s">
        <v>4616</v>
      </c>
      <c r="E37" s="46">
        <v>46125</v>
      </c>
      <c r="F37" s="26" t="s">
        <v>6222</v>
      </c>
      <c r="G37" s="47" t="s">
        <v>6232</v>
      </c>
      <c r="H37" s="26" t="s">
        <v>6223</v>
      </c>
      <c r="I37" s="47" t="s">
        <v>6232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4681</v>
      </c>
      <c r="C38" s="44" t="s">
        <v>4682</v>
      </c>
      <c r="D38" s="42" t="s">
        <v>4616</v>
      </c>
      <c r="E38" s="46">
        <v>46125</v>
      </c>
      <c r="F38" s="26" t="s">
        <v>6222</v>
      </c>
      <c r="G38" s="47" t="s">
        <v>6232</v>
      </c>
      <c r="H38" s="26" t="s">
        <v>6223</v>
      </c>
      <c r="I38" s="47" t="s">
        <v>6232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4683</v>
      </c>
      <c r="C39" s="25" t="s">
        <v>4684</v>
      </c>
      <c r="D39" s="23" t="s">
        <v>4616</v>
      </c>
      <c r="E39" s="46">
        <v>46125</v>
      </c>
      <c r="F39" s="26" t="s">
        <v>6222</v>
      </c>
      <c r="G39" s="47" t="s">
        <v>6232</v>
      </c>
      <c r="H39" s="26" t="s">
        <v>6223</v>
      </c>
      <c r="I39" s="47" t="s">
        <v>6232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4685</v>
      </c>
      <c r="C40" s="44" t="s">
        <v>4686</v>
      </c>
      <c r="D40" s="42" t="s">
        <v>4616</v>
      </c>
      <c r="E40" s="46">
        <v>46125</v>
      </c>
      <c r="F40" s="26" t="s">
        <v>6222</v>
      </c>
      <c r="G40" s="47" t="s">
        <v>6232</v>
      </c>
      <c r="H40" s="26" t="s">
        <v>6223</v>
      </c>
      <c r="I40" s="47" t="s">
        <v>6232</v>
      </c>
      <c r="J40" s="26" t="s">
        <v>6224</v>
      </c>
      <c r="K40" s="27"/>
      <c r="L40" s="28" t="s">
        <v>6223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4687</v>
      </c>
      <c r="C41" s="25" t="s">
        <v>4688</v>
      </c>
      <c r="D41" s="23" t="s">
        <v>4616</v>
      </c>
      <c r="E41" s="46">
        <v>46125</v>
      </c>
      <c r="F41" s="26" t="s">
        <v>6222</v>
      </c>
      <c r="G41" s="47" t="s">
        <v>6232</v>
      </c>
      <c r="H41" s="26" t="s">
        <v>6223</v>
      </c>
      <c r="I41" s="47" t="s">
        <v>6232</v>
      </c>
      <c r="J41" s="26" t="s">
        <v>6224</v>
      </c>
      <c r="K41" s="27"/>
      <c r="L41" s="28" t="s">
        <v>6223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4689</v>
      </c>
      <c r="C42" s="44" t="s">
        <v>4690</v>
      </c>
      <c r="D42" s="42" t="s">
        <v>4616</v>
      </c>
      <c r="E42" s="46">
        <v>46125</v>
      </c>
      <c r="F42" s="26" t="s">
        <v>6222</v>
      </c>
      <c r="G42" s="47" t="s">
        <v>6232</v>
      </c>
      <c r="H42" s="26" t="s">
        <v>6223</v>
      </c>
      <c r="I42" s="47" t="s">
        <v>6232</v>
      </c>
      <c r="J42" s="26" t="s">
        <v>6224</v>
      </c>
      <c r="K42" s="27"/>
      <c r="L42" s="28" t="s">
        <v>6223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4691</v>
      </c>
      <c r="C43" s="25" t="s">
        <v>4692</v>
      </c>
      <c r="D43" s="23" t="s">
        <v>4616</v>
      </c>
      <c r="E43" s="46">
        <v>46125</v>
      </c>
      <c r="F43" s="26" t="s">
        <v>6222</v>
      </c>
      <c r="G43" s="47" t="s">
        <v>6224</v>
      </c>
      <c r="H43" s="26" t="s">
        <v>6223</v>
      </c>
      <c r="I43" s="47" t="s">
        <v>6225</v>
      </c>
      <c r="J43" s="26" t="s">
        <v>6224</v>
      </c>
      <c r="K43" s="27"/>
      <c r="L43" s="28" t="s">
        <v>6223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4693</v>
      </c>
      <c r="C44" s="44" t="s">
        <v>4694</v>
      </c>
      <c r="D44" s="42" t="s">
        <v>4616</v>
      </c>
      <c r="E44" s="46">
        <v>46125</v>
      </c>
      <c r="F44" s="26" t="s">
        <v>6222</v>
      </c>
      <c r="G44" s="47" t="s">
        <v>6232</v>
      </c>
      <c r="H44" s="26" t="s">
        <v>6223</v>
      </c>
      <c r="I44" s="47" t="s">
        <v>6232</v>
      </c>
      <c r="J44" s="26" t="s">
        <v>6224</v>
      </c>
      <c r="K44" s="27"/>
      <c r="L44" s="28" t="s">
        <v>6223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4695</v>
      </c>
      <c r="C45" s="25" t="s">
        <v>4696</v>
      </c>
      <c r="D45" s="23" t="s">
        <v>4616</v>
      </c>
      <c r="E45" s="46">
        <v>46125</v>
      </c>
      <c r="F45" s="26" t="s">
        <v>6222</v>
      </c>
      <c r="G45" s="47" t="s">
        <v>6232</v>
      </c>
      <c r="H45" s="26" t="s">
        <v>6223</v>
      </c>
      <c r="I45" s="47" t="s">
        <v>6232</v>
      </c>
      <c r="J45" s="26" t="s">
        <v>6224</v>
      </c>
      <c r="K45" s="27"/>
      <c r="L45" s="28" t="s">
        <v>6223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4697</v>
      </c>
      <c r="C46" s="44" t="s">
        <v>4698</v>
      </c>
      <c r="D46" s="42" t="s">
        <v>4616</v>
      </c>
      <c r="E46" s="46">
        <v>46125</v>
      </c>
      <c r="F46" s="26" t="s">
        <v>6222</v>
      </c>
      <c r="G46" s="47" t="s">
        <v>6232</v>
      </c>
      <c r="H46" s="26" t="s">
        <v>6223</v>
      </c>
      <c r="I46" s="47" t="s">
        <v>6232</v>
      </c>
      <c r="J46" s="26" t="s">
        <v>6224</v>
      </c>
      <c r="K46" s="27"/>
      <c r="L46" s="28" t="s">
        <v>6223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4699</v>
      </c>
      <c r="C47" s="25" t="s">
        <v>4700</v>
      </c>
      <c r="D47" s="23" t="s">
        <v>4616</v>
      </c>
      <c r="E47" s="46">
        <v>46125</v>
      </c>
      <c r="F47" s="26" t="s">
        <v>6222</v>
      </c>
      <c r="G47" s="47" t="s">
        <v>6232</v>
      </c>
      <c r="H47" s="26" t="s">
        <v>6223</v>
      </c>
      <c r="I47" s="47" t="s">
        <v>6232</v>
      </c>
      <c r="J47" s="26" t="s">
        <v>6224</v>
      </c>
      <c r="K47" s="27"/>
      <c r="L47" s="28" t="s">
        <v>6223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4701</v>
      </c>
      <c r="C48" s="44" t="s">
        <v>4702</v>
      </c>
      <c r="D48" s="42" t="s">
        <v>4616</v>
      </c>
      <c r="E48" s="46">
        <v>46125</v>
      </c>
      <c r="F48" s="26" t="s">
        <v>6222</v>
      </c>
      <c r="G48" s="47" t="s">
        <v>6232</v>
      </c>
      <c r="H48" s="26" t="s">
        <v>6223</v>
      </c>
      <c r="I48" s="47" t="s">
        <v>6232</v>
      </c>
      <c r="J48" s="26" t="s">
        <v>6224</v>
      </c>
      <c r="K48" s="27"/>
      <c r="L48" s="28" t="s">
        <v>6223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4703</v>
      </c>
      <c r="C49" s="25" t="s">
        <v>4704</v>
      </c>
      <c r="D49" s="23" t="s">
        <v>4616</v>
      </c>
      <c r="E49" s="46">
        <v>46125</v>
      </c>
      <c r="F49" s="26" t="s">
        <v>6222</v>
      </c>
      <c r="G49" s="47" t="s">
        <v>6232</v>
      </c>
      <c r="H49" s="26" t="s">
        <v>6223</v>
      </c>
      <c r="I49" s="47" t="s">
        <v>6232</v>
      </c>
      <c r="J49" s="26" t="s">
        <v>6224</v>
      </c>
      <c r="K49" s="27"/>
      <c r="L49" s="28" t="s">
        <v>6223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4705</v>
      </c>
      <c r="C50" s="44" t="s">
        <v>4706</v>
      </c>
      <c r="D50" s="42" t="s">
        <v>4616</v>
      </c>
      <c r="E50" s="46">
        <v>46125</v>
      </c>
      <c r="F50" s="26" t="s">
        <v>6222</v>
      </c>
      <c r="G50" s="47" t="s">
        <v>6232</v>
      </c>
      <c r="H50" s="26" t="s">
        <v>6223</v>
      </c>
      <c r="I50" s="47" t="s">
        <v>6232</v>
      </c>
      <c r="J50" s="26" t="s">
        <v>6224</v>
      </c>
      <c r="K50" s="27"/>
      <c r="L50" s="28" t="s">
        <v>6223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4707</v>
      </c>
      <c r="C51" s="25" t="s">
        <v>4708</v>
      </c>
      <c r="D51" s="23" t="s">
        <v>4616</v>
      </c>
      <c r="E51" s="46">
        <v>46125</v>
      </c>
      <c r="F51" s="26" t="s">
        <v>6222</v>
      </c>
      <c r="G51" s="47" t="s">
        <v>6224</v>
      </c>
      <c r="H51" s="26" t="s">
        <v>6223</v>
      </c>
      <c r="I51" s="47" t="s">
        <v>6225</v>
      </c>
      <c r="J51" s="26" t="s">
        <v>6224</v>
      </c>
      <c r="K51" s="27"/>
      <c r="L51" s="28" t="s">
        <v>6223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4709</v>
      </c>
      <c r="C52" s="44" t="s">
        <v>4710</v>
      </c>
      <c r="D52" s="42" t="s">
        <v>4616</v>
      </c>
      <c r="E52" s="46">
        <v>46125</v>
      </c>
      <c r="F52" s="26" t="s">
        <v>6222</v>
      </c>
      <c r="G52" s="47" t="s">
        <v>6232</v>
      </c>
      <c r="H52" s="26" t="s">
        <v>6223</v>
      </c>
      <c r="I52" s="47" t="s">
        <v>6232</v>
      </c>
      <c r="J52" s="26" t="s">
        <v>6224</v>
      </c>
      <c r="K52" s="27"/>
      <c r="L52" s="28" t="s">
        <v>6223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4711</v>
      </c>
      <c r="C53" s="25" t="s">
        <v>4712</v>
      </c>
      <c r="D53" s="23" t="s">
        <v>4616</v>
      </c>
      <c r="E53" s="46">
        <v>46125</v>
      </c>
      <c r="F53" s="26" t="s">
        <v>6222</v>
      </c>
      <c r="G53" s="47" t="s">
        <v>6223</v>
      </c>
      <c r="H53" s="26" t="s">
        <v>6223</v>
      </c>
      <c r="I53" s="47" t="s">
        <v>6228</v>
      </c>
      <c r="J53" s="26" t="s">
        <v>6223</v>
      </c>
      <c r="K53" s="27"/>
      <c r="L53" s="28" t="s">
        <v>6224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4713</v>
      </c>
      <c r="C54" s="44" t="s">
        <v>4714</v>
      </c>
      <c r="D54" s="42" t="s">
        <v>4616</v>
      </c>
      <c r="E54" s="46">
        <v>46125</v>
      </c>
      <c r="F54" s="26" t="s">
        <v>6222</v>
      </c>
      <c r="G54" s="47" t="s">
        <v>6223</v>
      </c>
      <c r="H54" s="26" t="s">
        <v>6223</v>
      </c>
      <c r="I54" s="47" t="s">
        <v>6228</v>
      </c>
      <c r="J54" s="26" t="s">
        <v>6223</v>
      </c>
      <c r="K54" s="27"/>
      <c r="L54" s="28" t="s">
        <v>6224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4715</v>
      </c>
      <c r="C55" s="25" t="s">
        <v>4716</v>
      </c>
      <c r="D55" s="23" t="s">
        <v>4616</v>
      </c>
      <c r="E55" s="46">
        <v>46125</v>
      </c>
      <c r="F55" s="26" t="s">
        <v>6222</v>
      </c>
      <c r="G55" s="47" t="s">
        <v>6223</v>
      </c>
      <c r="H55" s="26" t="s">
        <v>6223</v>
      </c>
      <c r="I55" s="47" t="s">
        <v>6228</v>
      </c>
      <c r="J55" s="26" t="s">
        <v>6223</v>
      </c>
      <c r="K55" s="27"/>
      <c r="L55" s="28" t="s">
        <v>6224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4717</v>
      </c>
      <c r="C56" s="44" t="s">
        <v>4718</v>
      </c>
      <c r="D56" s="42" t="s">
        <v>4616</v>
      </c>
      <c r="E56" s="46">
        <v>46125</v>
      </c>
      <c r="F56" s="26" t="s">
        <v>6222</v>
      </c>
      <c r="G56" s="47" t="s">
        <v>6223</v>
      </c>
      <c r="H56" s="26" t="s">
        <v>6223</v>
      </c>
      <c r="I56" s="47" t="s">
        <v>6228</v>
      </c>
      <c r="J56" s="26" t="s">
        <v>6223</v>
      </c>
      <c r="K56" s="27"/>
      <c r="L56" s="28" t="s">
        <v>6224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4719</v>
      </c>
      <c r="C57" s="25" t="s">
        <v>4720</v>
      </c>
      <c r="D57" s="23" t="s">
        <v>4616</v>
      </c>
      <c r="E57" s="46">
        <v>46125</v>
      </c>
      <c r="F57" s="26" t="s">
        <v>6222</v>
      </c>
      <c r="G57" s="47" t="s">
        <v>6223</v>
      </c>
      <c r="H57" s="26" t="s">
        <v>6223</v>
      </c>
      <c r="I57" s="47" t="s">
        <v>6228</v>
      </c>
      <c r="J57" s="26" t="s">
        <v>6223</v>
      </c>
      <c r="K57" s="27"/>
      <c r="L57" s="28" t="s">
        <v>6224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4721</v>
      </c>
      <c r="C58" s="44" t="s">
        <v>4722</v>
      </c>
      <c r="D58" s="42" t="s">
        <v>4616</v>
      </c>
      <c r="E58" s="46">
        <v>46125</v>
      </c>
      <c r="F58" s="26" t="s">
        <v>6222</v>
      </c>
      <c r="G58" s="47" t="s">
        <v>6223</v>
      </c>
      <c r="H58" s="26" t="s">
        <v>6223</v>
      </c>
      <c r="I58" s="47" t="s">
        <v>6228</v>
      </c>
      <c r="J58" s="26" t="s">
        <v>6223</v>
      </c>
      <c r="K58" s="27"/>
      <c r="L58" s="28" t="s">
        <v>6224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4723</v>
      </c>
      <c r="C59" s="25" t="s">
        <v>4724</v>
      </c>
      <c r="D59" s="23" t="s">
        <v>4616</v>
      </c>
      <c r="E59" s="46">
        <v>46125</v>
      </c>
      <c r="F59" s="26" t="s">
        <v>6222</v>
      </c>
      <c r="G59" s="47" t="s">
        <v>6223</v>
      </c>
      <c r="H59" s="26" t="s">
        <v>6223</v>
      </c>
      <c r="I59" s="47" t="s">
        <v>6228</v>
      </c>
      <c r="J59" s="26" t="s">
        <v>6223</v>
      </c>
      <c r="K59" s="27"/>
      <c r="L59" s="28" t="s">
        <v>6224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4725</v>
      </c>
      <c r="C60" s="44" t="s">
        <v>4726</v>
      </c>
      <c r="D60" s="42" t="s">
        <v>4616</v>
      </c>
      <c r="E60" s="46">
        <v>46125</v>
      </c>
      <c r="F60" s="26" t="s">
        <v>6222</v>
      </c>
      <c r="G60" s="47" t="s">
        <v>6223</v>
      </c>
      <c r="H60" s="26" t="s">
        <v>6223</v>
      </c>
      <c r="I60" s="47" t="s">
        <v>6228</v>
      </c>
      <c r="J60" s="26" t="s">
        <v>6223</v>
      </c>
      <c r="K60" s="27"/>
      <c r="L60" s="28" t="s">
        <v>6224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4727</v>
      </c>
      <c r="C61" s="25" t="s">
        <v>4728</v>
      </c>
      <c r="D61" s="23" t="s">
        <v>4616</v>
      </c>
      <c r="E61" s="46">
        <v>46125</v>
      </c>
      <c r="F61" s="26" t="s">
        <v>6222</v>
      </c>
      <c r="G61" s="47" t="s">
        <v>6223</v>
      </c>
      <c r="H61" s="26" t="s">
        <v>6223</v>
      </c>
      <c r="I61" s="47" t="s">
        <v>6228</v>
      </c>
      <c r="J61" s="26" t="s">
        <v>6223</v>
      </c>
      <c r="K61" s="27"/>
      <c r="L61" s="28" t="s">
        <v>6224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4729</v>
      </c>
      <c r="C62" s="44" t="s">
        <v>4730</v>
      </c>
      <c r="D62" s="42" t="s">
        <v>4616</v>
      </c>
      <c r="E62" s="46">
        <v>46125</v>
      </c>
      <c r="F62" s="26" t="s">
        <v>6222</v>
      </c>
      <c r="G62" s="47" t="s">
        <v>6223</v>
      </c>
      <c r="H62" s="26" t="s">
        <v>6223</v>
      </c>
      <c r="I62" s="47" t="s">
        <v>6228</v>
      </c>
      <c r="J62" s="26" t="s">
        <v>6223</v>
      </c>
      <c r="K62" s="27"/>
      <c r="L62" s="28" t="s">
        <v>6224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4731</v>
      </c>
      <c r="C63" s="25" t="s">
        <v>4732</v>
      </c>
      <c r="D63" s="23" t="s">
        <v>4616</v>
      </c>
      <c r="E63" s="46">
        <v>46125</v>
      </c>
      <c r="F63" s="26" t="s">
        <v>6222</v>
      </c>
      <c r="G63" s="47" t="s">
        <v>6223</v>
      </c>
      <c r="H63" s="26" t="s">
        <v>6223</v>
      </c>
      <c r="I63" s="47" t="s">
        <v>6228</v>
      </c>
      <c r="J63" s="26" t="s">
        <v>6223</v>
      </c>
      <c r="K63" s="27"/>
      <c r="L63" s="28" t="s">
        <v>6224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4733</v>
      </c>
      <c r="C64" s="44" t="s">
        <v>4734</v>
      </c>
      <c r="D64" s="42" t="s">
        <v>4616</v>
      </c>
      <c r="E64" s="46">
        <v>46125</v>
      </c>
      <c r="F64" s="26" t="s">
        <v>6222</v>
      </c>
      <c r="G64" s="47" t="s">
        <v>6223</v>
      </c>
      <c r="H64" s="26" t="s">
        <v>6223</v>
      </c>
      <c r="I64" s="47" t="s">
        <v>6228</v>
      </c>
      <c r="J64" s="26" t="s">
        <v>6223</v>
      </c>
      <c r="K64" s="27"/>
      <c r="L64" s="28" t="s">
        <v>6224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4735</v>
      </c>
      <c r="C65" s="25" t="s">
        <v>4736</v>
      </c>
      <c r="D65" s="23" t="s">
        <v>4616</v>
      </c>
      <c r="E65" s="46">
        <v>46125</v>
      </c>
      <c r="F65" s="26" t="s">
        <v>6222</v>
      </c>
      <c r="G65" s="47" t="s">
        <v>6223</v>
      </c>
      <c r="H65" s="26" t="s">
        <v>6223</v>
      </c>
      <c r="I65" s="47" t="s">
        <v>6228</v>
      </c>
      <c r="J65" s="26" t="s">
        <v>6223</v>
      </c>
      <c r="K65" s="27"/>
      <c r="L65" s="28" t="s">
        <v>6224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4737</v>
      </c>
      <c r="C66" s="44" t="s">
        <v>4738</v>
      </c>
      <c r="D66" s="42" t="s">
        <v>4616</v>
      </c>
      <c r="E66" s="46">
        <v>46125</v>
      </c>
      <c r="F66" s="26" t="s">
        <v>6222</v>
      </c>
      <c r="G66" s="47" t="s">
        <v>6223</v>
      </c>
      <c r="H66" s="26" t="s">
        <v>6223</v>
      </c>
      <c r="I66" s="47" t="s">
        <v>6228</v>
      </c>
      <c r="J66" s="26" t="s">
        <v>6223</v>
      </c>
      <c r="K66" s="27"/>
      <c r="L66" s="28" t="s">
        <v>6224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4739</v>
      </c>
      <c r="C67" s="25" t="s">
        <v>4740</v>
      </c>
      <c r="D67" s="23" t="s">
        <v>4616</v>
      </c>
      <c r="E67" s="46">
        <v>46125</v>
      </c>
      <c r="F67" s="26" t="s">
        <v>6222</v>
      </c>
      <c r="G67" s="47" t="s">
        <v>6223</v>
      </c>
      <c r="H67" s="26" t="s">
        <v>6223</v>
      </c>
      <c r="I67" s="47" t="s">
        <v>6228</v>
      </c>
      <c r="J67" s="26" t="s">
        <v>6223</v>
      </c>
      <c r="K67" s="27"/>
      <c r="L67" s="28" t="s">
        <v>6224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4741</v>
      </c>
      <c r="C68" s="44" t="s">
        <v>4742</v>
      </c>
      <c r="D68" s="42" t="s">
        <v>4616</v>
      </c>
      <c r="E68" s="46">
        <v>46125</v>
      </c>
      <c r="F68" s="26" t="s">
        <v>6222</v>
      </c>
      <c r="G68" s="47" t="s">
        <v>6223</v>
      </c>
      <c r="H68" s="26" t="s">
        <v>6223</v>
      </c>
      <c r="I68" s="47" t="s">
        <v>6228</v>
      </c>
      <c r="J68" s="26" t="s">
        <v>6223</v>
      </c>
      <c r="K68" s="27"/>
      <c r="L68" s="28" t="s">
        <v>6224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4743</v>
      </c>
      <c r="C69" s="25" t="s">
        <v>4744</v>
      </c>
      <c r="D69" s="23" t="s">
        <v>4616</v>
      </c>
      <c r="E69" s="46">
        <v>46125</v>
      </c>
      <c r="F69" s="26" t="s">
        <v>6222</v>
      </c>
      <c r="G69" s="47" t="s">
        <v>6223</v>
      </c>
      <c r="H69" s="26" t="s">
        <v>6223</v>
      </c>
      <c r="I69" s="47" t="s">
        <v>6228</v>
      </c>
      <c r="J69" s="26" t="s">
        <v>6223</v>
      </c>
      <c r="K69" s="27"/>
      <c r="L69" s="28" t="s">
        <v>6224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4745</v>
      </c>
      <c r="C70" s="44" t="s">
        <v>4746</v>
      </c>
      <c r="D70" s="42" t="s">
        <v>4616</v>
      </c>
      <c r="E70" s="46">
        <v>46125</v>
      </c>
      <c r="F70" s="26" t="s">
        <v>6222</v>
      </c>
      <c r="G70" s="47" t="s">
        <v>6223</v>
      </c>
      <c r="H70" s="26" t="s">
        <v>6223</v>
      </c>
      <c r="I70" s="47" t="s">
        <v>6228</v>
      </c>
      <c r="J70" s="26" t="s">
        <v>6223</v>
      </c>
      <c r="K70" s="27"/>
      <c r="L70" s="28" t="s">
        <v>6224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4747</v>
      </c>
      <c r="C71" s="25" t="s">
        <v>4748</v>
      </c>
      <c r="D71" s="23" t="s">
        <v>4616</v>
      </c>
      <c r="E71" s="46">
        <v>46125</v>
      </c>
      <c r="F71" s="26" t="s">
        <v>6222</v>
      </c>
      <c r="G71" s="47" t="s">
        <v>6223</v>
      </c>
      <c r="H71" s="26" t="s">
        <v>6223</v>
      </c>
      <c r="I71" s="47" t="s">
        <v>6228</v>
      </c>
      <c r="J71" s="26" t="s">
        <v>6223</v>
      </c>
      <c r="K71" s="27"/>
      <c r="L71" s="28" t="s">
        <v>6224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4749</v>
      </c>
      <c r="C72" s="44" t="s">
        <v>4750</v>
      </c>
      <c r="D72" s="42" t="s">
        <v>4616</v>
      </c>
      <c r="E72" s="46">
        <v>46125</v>
      </c>
      <c r="F72" s="26" t="s">
        <v>6222</v>
      </c>
      <c r="G72" s="47" t="s">
        <v>6223</v>
      </c>
      <c r="H72" s="26" t="s">
        <v>6223</v>
      </c>
      <c r="I72" s="47" t="s">
        <v>6228</v>
      </c>
      <c r="J72" s="26" t="s">
        <v>6223</v>
      </c>
      <c r="K72" s="27"/>
      <c r="L72" s="28" t="s">
        <v>6224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4751</v>
      </c>
      <c r="C73" s="25" t="s">
        <v>4752</v>
      </c>
      <c r="D73" s="23" t="s">
        <v>4616</v>
      </c>
      <c r="E73" s="46">
        <v>46125</v>
      </c>
      <c r="F73" s="26" t="s">
        <v>6222</v>
      </c>
      <c r="G73" s="47" t="s">
        <v>6223</v>
      </c>
      <c r="H73" s="26" t="s">
        <v>6223</v>
      </c>
      <c r="I73" s="47" t="s">
        <v>6228</v>
      </c>
      <c r="J73" s="26" t="s">
        <v>6223</v>
      </c>
      <c r="K73" s="27"/>
      <c r="L73" s="28" t="s">
        <v>6224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4753</v>
      </c>
      <c r="C74" s="44" t="s">
        <v>4754</v>
      </c>
      <c r="D74" s="42" t="s">
        <v>4616</v>
      </c>
      <c r="E74" s="46">
        <v>46125</v>
      </c>
      <c r="F74" s="26" t="s">
        <v>6222</v>
      </c>
      <c r="G74" s="47" t="s">
        <v>6223</v>
      </c>
      <c r="H74" s="26" t="s">
        <v>6223</v>
      </c>
      <c r="I74" s="47" t="s">
        <v>6228</v>
      </c>
      <c r="J74" s="26" t="s">
        <v>6223</v>
      </c>
      <c r="K74" s="27"/>
      <c r="L74" s="28" t="s">
        <v>6224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4755</v>
      </c>
      <c r="C75" s="25" t="s">
        <v>4756</v>
      </c>
      <c r="D75" s="23" t="s">
        <v>4616</v>
      </c>
      <c r="E75" s="46">
        <v>46125</v>
      </c>
      <c r="F75" s="26" t="s">
        <v>6222</v>
      </c>
      <c r="G75" s="47" t="s">
        <v>6223</v>
      </c>
      <c r="H75" s="26" t="s">
        <v>6223</v>
      </c>
      <c r="I75" s="47" t="s">
        <v>6228</v>
      </c>
      <c r="J75" s="26" t="s">
        <v>6223</v>
      </c>
      <c r="K75" s="27"/>
      <c r="L75" s="28" t="s">
        <v>6224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4757</v>
      </c>
      <c r="C76" s="44" t="s">
        <v>4758</v>
      </c>
      <c r="D76" s="42" t="s">
        <v>4616</v>
      </c>
      <c r="E76" s="46">
        <v>46125</v>
      </c>
      <c r="F76" s="26" t="s">
        <v>6222</v>
      </c>
      <c r="G76" s="47" t="s">
        <v>6223</v>
      </c>
      <c r="H76" s="26" t="s">
        <v>6223</v>
      </c>
      <c r="I76" s="47" t="s">
        <v>6228</v>
      </c>
      <c r="J76" s="26" t="s">
        <v>6223</v>
      </c>
      <c r="K76" s="27"/>
      <c r="L76" s="28" t="s">
        <v>6224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4759</v>
      </c>
      <c r="C77" s="25" t="s">
        <v>4760</v>
      </c>
      <c r="D77" s="23" t="s">
        <v>4616</v>
      </c>
      <c r="E77" s="46">
        <v>46125</v>
      </c>
      <c r="F77" s="26" t="s">
        <v>6222</v>
      </c>
      <c r="G77" s="47" t="s">
        <v>6223</v>
      </c>
      <c r="H77" s="26" t="s">
        <v>6223</v>
      </c>
      <c r="I77" s="47" t="s">
        <v>6228</v>
      </c>
      <c r="J77" s="26" t="s">
        <v>6223</v>
      </c>
      <c r="K77" s="27"/>
      <c r="L77" s="28" t="s">
        <v>6224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4761</v>
      </c>
      <c r="C78" s="44" t="s">
        <v>4762</v>
      </c>
      <c r="D78" s="42" t="s">
        <v>4616</v>
      </c>
      <c r="E78" s="46">
        <v>46125</v>
      </c>
      <c r="F78" s="26" t="s">
        <v>6222</v>
      </c>
      <c r="G78" s="47" t="s">
        <v>6223</v>
      </c>
      <c r="H78" s="26" t="s">
        <v>6223</v>
      </c>
      <c r="I78" s="47" t="s">
        <v>6228</v>
      </c>
      <c r="J78" s="26" t="s">
        <v>6223</v>
      </c>
      <c r="K78" s="27"/>
      <c r="L78" s="28" t="s">
        <v>6224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4763</v>
      </c>
      <c r="C79" s="25" t="s">
        <v>4764</v>
      </c>
      <c r="D79" s="23" t="s">
        <v>4616</v>
      </c>
      <c r="E79" s="46">
        <v>46125</v>
      </c>
      <c r="F79" s="26" t="s">
        <v>6222</v>
      </c>
      <c r="G79" s="47" t="s">
        <v>6223</v>
      </c>
      <c r="H79" s="26" t="s">
        <v>6223</v>
      </c>
      <c r="I79" s="47" t="s">
        <v>6228</v>
      </c>
      <c r="J79" s="26" t="s">
        <v>6223</v>
      </c>
      <c r="K79" s="27"/>
      <c r="L79" s="28" t="s">
        <v>6224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4765</v>
      </c>
      <c r="C80" s="44" t="s">
        <v>4766</v>
      </c>
      <c r="D80" s="42" t="s">
        <v>4616</v>
      </c>
      <c r="E80" s="46">
        <v>46125</v>
      </c>
      <c r="F80" s="26" t="s">
        <v>6222</v>
      </c>
      <c r="G80" s="47" t="s">
        <v>6223</v>
      </c>
      <c r="H80" s="26" t="s">
        <v>6223</v>
      </c>
      <c r="I80" s="47" t="s">
        <v>6228</v>
      </c>
      <c r="J80" s="26" t="s">
        <v>6223</v>
      </c>
      <c r="K80" s="27"/>
      <c r="L80" s="28" t="s">
        <v>6224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4767</v>
      </c>
      <c r="C81" s="25" t="s">
        <v>4768</v>
      </c>
      <c r="D81" s="23" t="s">
        <v>4616</v>
      </c>
      <c r="E81" s="46">
        <v>46125</v>
      </c>
      <c r="F81" s="26" t="s">
        <v>6222</v>
      </c>
      <c r="G81" s="47" t="s">
        <v>6223</v>
      </c>
      <c r="H81" s="26" t="s">
        <v>6223</v>
      </c>
      <c r="I81" s="47" t="s">
        <v>6228</v>
      </c>
      <c r="J81" s="26" t="s">
        <v>6223</v>
      </c>
      <c r="K81" s="27"/>
      <c r="L81" s="28" t="s">
        <v>6224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4769</v>
      </c>
      <c r="C82" s="44" t="s">
        <v>4770</v>
      </c>
      <c r="D82" s="42" t="s">
        <v>4616</v>
      </c>
      <c r="E82" s="46">
        <v>46125</v>
      </c>
      <c r="F82" s="26" t="s">
        <v>6222</v>
      </c>
      <c r="G82" s="47" t="s">
        <v>6223</v>
      </c>
      <c r="H82" s="26" t="s">
        <v>6223</v>
      </c>
      <c r="I82" s="47" t="s">
        <v>6228</v>
      </c>
      <c r="J82" s="26" t="s">
        <v>6223</v>
      </c>
      <c r="K82" s="27"/>
      <c r="L82" s="28" t="s">
        <v>6224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4771</v>
      </c>
      <c r="C83" s="25" t="s">
        <v>4772</v>
      </c>
      <c r="D83" s="23" t="s">
        <v>4616</v>
      </c>
      <c r="E83" s="46">
        <v>46125</v>
      </c>
      <c r="F83" s="26" t="s">
        <v>6222</v>
      </c>
      <c r="G83" s="47" t="s">
        <v>6223</v>
      </c>
      <c r="H83" s="26" t="s">
        <v>6223</v>
      </c>
      <c r="I83" s="47" t="s">
        <v>6228</v>
      </c>
      <c r="J83" s="26" t="s">
        <v>6223</v>
      </c>
      <c r="K83" s="27"/>
      <c r="L83" s="28" t="s">
        <v>6224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4773</v>
      </c>
      <c r="C84" s="44" t="s">
        <v>4774</v>
      </c>
      <c r="D84" s="42" t="s">
        <v>4616</v>
      </c>
      <c r="E84" s="46">
        <v>46125</v>
      </c>
      <c r="F84" s="26" t="s">
        <v>6222</v>
      </c>
      <c r="G84" s="47" t="s">
        <v>6223</v>
      </c>
      <c r="H84" s="26" t="s">
        <v>6223</v>
      </c>
      <c r="I84" s="47" t="s">
        <v>6228</v>
      </c>
      <c r="J84" s="26" t="s">
        <v>6223</v>
      </c>
      <c r="K84" s="27"/>
      <c r="L84" s="28" t="s">
        <v>6224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4775</v>
      </c>
      <c r="C85" s="25" t="s">
        <v>4776</v>
      </c>
      <c r="D85" s="23" t="s">
        <v>4616</v>
      </c>
      <c r="E85" s="46">
        <v>46125</v>
      </c>
      <c r="F85" s="26" t="s">
        <v>6222</v>
      </c>
      <c r="G85" s="47" t="s">
        <v>6223</v>
      </c>
      <c r="H85" s="26" t="s">
        <v>6223</v>
      </c>
      <c r="I85" s="47" t="s">
        <v>6228</v>
      </c>
      <c r="J85" s="26" t="s">
        <v>6223</v>
      </c>
      <c r="K85" s="27"/>
      <c r="L85" s="28" t="s">
        <v>6224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4777</v>
      </c>
      <c r="C86" s="44" t="s">
        <v>4778</v>
      </c>
      <c r="D86" s="42" t="s">
        <v>4616</v>
      </c>
      <c r="E86" s="46">
        <v>46125</v>
      </c>
      <c r="F86" s="26" t="s">
        <v>6222</v>
      </c>
      <c r="G86" s="47" t="s">
        <v>6223</v>
      </c>
      <c r="H86" s="26" t="s">
        <v>6223</v>
      </c>
      <c r="I86" s="47" t="s">
        <v>6228</v>
      </c>
      <c r="J86" s="26" t="s">
        <v>6223</v>
      </c>
      <c r="K86" s="27"/>
      <c r="L86" s="28" t="s">
        <v>6224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4779</v>
      </c>
      <c r="C87" s="25" t="s">
        <v>4780</v>
      </c>
      <c r="D87" s="23" t="s">
        <v>4616</v>
      </c>
      <c r="E87" s="46">
        <v>46125</v>
      </c>
      <c r="F87" s="26" t="s">
        <v>6222</v>
      </c>
      <c r="G87" s="47" t="s">
        <v>6223</v>
      </c>
      <c r="H87" s="26" t="s">
        <v>6223</v>
      </c>
      <c r="I87" s="47" t="s">
        <v>6228</v>
      </c>
      <c r="J87" s="26" t="s">
        <v>6223</v>
      </c>
      <c r="K87" s="27"/>
      <c r="L87" s="28" t="s">
        <v>6224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4781</v>
      </c>
      <c r="C88" s="44" t="s">
        <v>4782</v>
      </c>
      <c r="D88" s="42" t="s">
        <v>4616</v>
      </c>
      <c r="E88" s="46">
        <v>46125</v>
      </c>
      <c r="F88" s="26" t="s">
        <v>6222</v>
      </c>
      <c r="G88" s="47" t="s">
        <v>6223</v>
      </c>
      <c r="H88" s="26" t="s">
        <v>6223</v>
      </c>
      <c r="I88" s="47" t="s">
        <v>6228</v>
      </c>
      <c r="J88" s="26" t="s">
        <v>6223</v>
      </c>
      <c r="K88" s="27"/>
      <c r="L88" s="28" t="s">
        <v>6224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4783</v>
      </c>
      <c r="C89" s="25" t="s">
        <v>4784</v>
      </c>
      <c r="D89" s="23" t="s">
        <v>4616</v>
      </c>
      <c r="E89" s="46">
        <v>46125</v>
      </c>
      <c r="F89" s="26" t="s">
        <v>6222</v>
      </c>
      <c r="G89" s="47" t="s">
        <v>6223</v>
      </c>
      <c r="H89" s="26" t="s">
        <v>6223</v>
      </c>
      <c r="I89" s="47" t="s">
        <v>6228</v>
      </c>
      <c r="J89" s="26" t="s">
        <v>6223</v>
      </c>
      <c r="K89" s="27"/>
      <c r="L89" s="28" t="s">
        <v>6224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4785</v>
      </c>
      <c r="C90" s="44" t="s">
        <v>4786</v>
      </c>
      <c r="D90" s="42" t="s">
        <v>4616</v>
      </c>
      <c r="E90" s="46">
        <v>46125</v>
      </c>
      <c r="F90" s="26" t="s">
        <v>6222</v>
      </c>
      <c r="G90" s="47" t="s">
        <v>6232</v>
      </c>
      <c r="H90" s="26" t="s">
        <v>6223</v>
      </c>
      <c r="I90" s="47" t="s">
        <v>6232</v>
      </c>
      <c r="J90" s="26" t="s">
        <v>6224</v>
      </c>
      <c r="K90" s="27"/>
      <c r="L90" s="28" t="s">
        <v>6223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4787</v>
      </c>
      <c r="C91" s="25" t="s">
        <v>4788</v>
      </c>
      <c r="D91" s="23" t="s">
        <v>4616</v>
      </c>
      <c r="E91" s="46">
        <v>46125</v>
      </c>
      <c r="F91" s="26" t="s">
        <v>6222</v>
      </c>
      <c r="G91" s="47" t="s">
        <v>6232</v>
      </c>
      <c r="H91" s="26" t="s">
        <v>6223</v>
      </c>
      <c r="I91" s="47" t="s">
        <v>6232</v>
      </c>
      <c r="J91" s="26" t="s">
        <v>6224</v>
      </c>
      <c r="K91" s="27"/>
      <c r="L91" s="28" t="s">
        <v>6223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4789</v>
      </c>
      <c r="C92" s="44" t="s">
        <v>4790</v>
      </c>
      <c r="D92" s="42" t="s">
        <v>4616</v>
      </c>
      <c r="E92" s="46">
        <v>46125</v>
      </c>
      <c r="F92" s="26" t="s">
        <v>6222</v>
      </c>
      <c r="G92" s="47" t="s">
        <v>6232</v>
      </c>
      <c r="H92" s="26" t="s">
        <v>6223</v>
      </c>
      <c r="I92" s="47" t="s">
        <v>6232</v>
      </c>
      <c r="J92" s="26" t="s">
        <v>6224</v>
      </c>
      <c r="K92" s="27"/>
      <c r="L92" s="28" t="s">
        <v>6223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4791</v>
      </c>
      <c r="C93" s="25" t="s">
        <v>4792</v>
      </c>
      <c r="D93" s="23" t="s">
        <v>4616</v>
      </c>
      <c r="E93" s="46">
        <v>46125</v>
      </c>
      <c r="F93" s="26" t="s">
        <v>6222</v>
      </c>
      <c r="G93" s="47" t="s">
        <v>6232</v>
      </c>
      <c r="H93" s="26" t="s">
        <v>6223</v>
      </c>
      <c r="I93" s="47" t="s">
        <v>6232</v>
      </c>
      <c r="J93" s="26" t="s">
        <v>6224</v>
      </c>
      <c r="K93" s="27"/>
      <c r="L93" s="28" t="s">
        <v>6223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4793</v>
      </c>
      <c r="C94" s="44" t="s">
        <v>4794</v>
      </c>
      <c r="D94" s="42" t="s">
        <v>4616</v>
      </c>
      <c r="E94" s="46">
        <v>46125</v>
      </c>
      <c r="F94" s="26" t="s">
        <v>6222</v>
      </c>
      <c r="G94" s="47" t="s">
        <v>6232</v>
      </c>
      <c r="H94" s="26" t="s">
        <v>6223</v>
      </c>
      <c r="I94" s="47" t="s">
        <v>6232</v>
      </c>
      <c r="J94" s="26" t="s">
        <v>6224</v>
      </c>
      <c r="K94" s="27"/>
      <c r="L94" s="28" t="s">
        <v>6223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4795</v>
      </c>
      <c r="C95" s="25" t="s">
        <v>4796</v>
      </c>
      <c r="D95" s="23" t="s">
        <v>4616</v>
      </c>
      <c r="E95" s="46">
        <v>46125</v>
      </c>
      <c r="F95" s="26" t="s">
        <v>6222</v>
      </c>
      <c r="G95" s="47" t="s">
        <v>6232</v>
      </c>
      <c r="H95" s="26" t="s">
        <v>6223</v>
      </c>
      <c r="I95" s="47" t="s">
        <v>6232</v>
      </c>
      <c r="J95" s="26" t="s">
        <v>6224</v>
      </c>
      <c r="K95" s="27"/>
      <c r="L95" s="28" t="s">
        <v>6223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4797</v>
      </c>
      <c r="C96" s="44" t="s">
        <v>4798</v>
      </c>
      <c r="D96" s="42" t="s">
        <v>4616</v>
      </c>
      <c r="E96" s="46">
        <v>46125</v>
      </c>
      <c r="F96" s="26" t="s">
        <v>6222</v>
      </c>
      <c r="G96" s="47" t="s">
        <v>6232</v>
      </c>
      <c r="H96" s="26" t="s">
        <v>6223</v>
      </c>
      <c r="I96" s="47" t="s">
        <v>6232</v>
      </c>
      <c r="J96" s="26" t="s">
        <v>6224</v>
      </c>
      <c r="K96" s="27"/>
      <c r="L96" s="28" t="s">
        <v>6223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4799</v>
      </c>
      <c r="C97" s="25" t="s">
        <v>4800</v>
      </c>
      <c r="D97" s="23" t="s">
        <v>4616</v>
      </c>
      <c r="E97" s="46">
        <v>46125</v>
      </c>
      <c r="F97" s="26" t="s">
        <v>6222</v>
      </c>
      <c r="G97" s="47" t="s">
        <v>6232</v>
      </c>
      <c r="H97" s="26" t="s">
        <v>6223</v>
      </c>
      <c r="I97" s="47" t="s">
        <v>6232</v>
      </c>
      <c r="J97" s="26" t="s">
        <v>6224</v>
      </c>
      <c r="K97" s="27"/>
      <c r="L97" s="28" t="s">
        <v>6223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4801</v>
      </c>
      <c r="C98" s="44" t="s">
        <v>4802</v>
      </c>
      <c r="D98" s="42" t="s">
        <v>4616</v>
      </c>
      <c r="E98" s="46">
        <v>46125</v>
      </c>
      <c r="F98" s="26" t="s">
        <v>6222</v>
      </c>
      <c r="G98" s="47" t="s">
        <v>6224</v>
      </c>
      <c r="H98" s="26" t="s">
        <v>6223</v>
      </c>
      <c r="I98" s="47" t="s">
        <v>6225</v>
      </c>
      <c r="J98" s="26" t="s">
        <v>6224</v>
      </c>
      <c r="K98" s="27"/>
      <c r="L98" s="28" t="s">
        <v>6223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4803</v>
      </c>
      <c r="C99" s="25" t="s">
        <v>4804</v>
      </c>
      <c r="D99" s="23" t="s">
        <v>4616</v>
      </c>
      <c r="E99" s="46">
        <v>46125</v>
      </c>
      <c r="F99" s="26" t="s">
        <v>6222</v>
      </c>
      <c r="G99" s="47" t="s">
        <v>6232</v>
      </c>
      <c r="H99" s="26" t="s">
        <v>6223</v>
      </c>
      <c r="I99" s="47" t="s">
        <v>6232</v>
      </c>
      <c r="J99" s="26" t="s">
        <v>6224</v>
      </c>
      <c r="K99" s="27"/>
      <c r="L99" s="28" t="s">
        <v>6223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4805</v>
      </c>
      <c r="C100" s="44" t="s">
        <v>4806</v>
      </c>
      <c r="D100" s="42" t="s">
        <v>4616</v>
      </c>
      <c r="E100" s="46">
        <v>46125</v>
      </c>
      <c r="F100" s="26" t="s">
        <v>6222</v>
      </c>
      <c r="G100" s="47" t="s">
        <v>6224</v>
      </c>
      <c r="H100" s="26" t="s">
        <v>6223</v>
      </c>
      <c r="I100" s="47" t="s">
        <v>6225</v>
      </c>
      <c r="J100" s="26" t="s">
        <v>6224</v>
      </c>
      <c r="K100" s="27"/>
      <c r="L100" s="28" t="s">
        <v>6223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4807</v>
      </c>
      <c r="C101" s="25" t="s">
        <v>4808</v>
      </c>
      <c r="D101" s="23" t="s">
        <v>4616</v>
      </c>
      <c r="E101" s="46">
        <v>46125</v>
      </c>
      <c r="F101" s="26" t="s">
        <v>6222</v>
      </c>
      <c r="G101" s="47" t="s">
        <v>6232</v>
      </c>
      <c r="H101" s="26" t="s">
        <v>6223</v>
      </c>
      <c r="I101" s="47" t="s">
        <v>6232</v>
      </c>
      <c r="J101" s="26" t="s">
        <v>6224</v>
      </c>
      <c r="K101" s="27"/>
      <c r="L101" s="28" t="s">
        <v>6223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4809</v>
      </c>
      <c r="C102" s="44" t="s">
        <v>4810</v>
      </c>
      <c r="D102" s="42" t="s">
        <v>4616</v>
      </c>
      <c r="E102" s="46">
        <v>46125</v>
      </c>
      <c r="F102" s="26" t="s">
        <v>6222</v>
      </c>
      <c r="G102" s="47" t="s">
        <v>6232</v>
      </c>
      <c r="H102" s="26" t="s">
        <v>6223</v>
      </c>
      <c r="I102" s="47" t="s">
        <v>6232</v>
      </c>
      <c r="J102" s="26" t="s">
        <v>6224</v>
      </c>
      <c r="K102" s="27"/>
      <c r="L102" s="28" t="s">
        <v>6223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4811</v>
      </c>
      <c r="C103" s="25" t="s">
        <v>4812</v>
      </c>
      <c r="D103" s="23" t="s">
        <v>4616</v>
      </c>
      <c r="E103" s="46">
        <v>46125</v>
      </c>
      <c r="F103" s="26" t="s">
        <v>6222</v>
      </c>
      <c r="G103" s="47" t="s">
        <v>6232</v>
      </c>
      <c r="H103" s="26" t="s">
        <v>6223</v>
      </c>
      <c r="I103" s="47" t="s">
        <v>6232</v>
      </c>
      <c r="J103" s="26" t="s">
        <v>6224</v>
      </c>
      <c r="K103" s="27"/>
      <c r="L103" s="28" t="s">
        <v>6223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4813</v>
      </c>
      <c r="C104" s="44" t="s">
        <v>4814</v>
      </c>
      <c r="D104" s="42" t="s">
        <v>4616</v>
      </c>
      <c r="E104" s="46">
        <v>46125</v>
      </c>
      <c r="F104" s="26" t="s">
        <v>6222</v>
      </c>
      <c r="G104" s="47" t="s">
        <v>6232</v>
      </c>
      <c r="H104" s="26" t="s">
        <v>6223</v>
      </c>
      <c r="I104" s="47" t="s">
        <v>6232</v>
      </c>
      <c r="J104" s="26" t="s">
        <v>6224</v>
      </c>
      <c r="K104" s="27"/>
      <c r="L104" s="28" t="s">
        <v>6223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4815</v>
      </c>
      <c r="C105" s="25" t="s">
        <v>4816</v>
      </c>
      <c r="D105" s="23" t="s">
        <v>4616</v>
      </c>
      <c r="E105" s="46">
        <v>46125</v>
      </c>
      <c r="F105" s="26" t="s">
        <v>6222</v>
      </c>
      <c r="G105" s="47" t="s">
        <v>6232</v>
      </c>
      <c r="H105" s="26" t="s">
        <v>6223</v>
      </c>
      <c r="I105" s="47" t="s">
        <v>6232</v>
      </c>
      <c r="J105" s="26" t="s">
        <v>6224</v>
      </c>
      <c r="K105" s="27"/>
      <c r="L105" s="28" t="s">
        <v>6223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4817</v>
      </c>
      <c r="C106" s="44" t="s">
        <v>4818</v>
      </c>
      <c r="D106" s="42" t="s">
        <v>4616</v>
      </c>
      <c r="E106" s="46">
        <v>46125</v>
      </c>
      <c r="F106" s="26" t="s">
        <v>6222</v>
      </c>
      <c r="G106" s="47" t="s">
        <v>6224</v>
      </c>
      <c r="H106" s="26" t="s">
        <v>6223</v>
      </c>
      <c r="I106" s="47" t="s">
        <v>6225</v>
      </c>
      <c r="J106" s="26" t="s">
        <v>6224</v>
      </c>
      <c r="K106" s="27"/>
      <c r="L106" s="28" t="s">
        <v>6223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4819</v>
      </c>
      <c r="C107" s="25" t="s">
        <v>4820</v>
      </c>
      <c r="D107" s="23" t="s">
        <v>4616</v>
      </c>
      <c r="E107" s="46">
        <v>46125</v>
      </c>
      <c r="F107" s="26" t="s">
        <v>6222</v>
      </c>
      <c r="G107" s="47" t="s">
        <v>6232</v>
      </c>
      <c r="H107" s="26" t="s">
        <v>6223</v>
      </c>
      <c r="I107" s="47" t="s">
        <v>6232</v>
      </c>
      <c r="J107" s="26" t="s">
        <v>6224</v>
      </c>
      <c r="K107" s="27"/>
      <c r="L107" s="28" t="s">
        <v>6223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4821</v>
      </c>
      <c r="C108" s="44" t="s">
        <v>4822</v>
      </c>
      <c r="D108" s="42" t="s">
        <v>4616</v>
      </c>
      <c r="E108" s="46">
        <v>46125</v>
      </c>
      <c r="F108" s="26" t="s">
        <v>6222</v>
      </c>
      <c r="G108" s="47" t="s">
        <v>6232</v>
      </c>
      <c r="H108" s="26" t="s">
        <v>6223</v>
      </c>
      <c r="I108" s="47" t="s">
        <v>6232</v>
      </c>
      <c r="J108" s="26" t="s">
        <v>6224</v>
      </c>
      <c r="K108" s="27"/>
      <c r="L108" s="28" t="s">
        <v>6223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4823</v>
      </c>
      <c r="C109" s="25" t="s">
        <v>4824</v>
      </c>
      <c r="D109" s="23" t="s">
        <v>4616</v>
      </c>
      <c r="E109" s="46">
        <v>46125</v>
      </c>
      <c r="F109" s="26" t="s">
        <v>6222</v>
      </c>
      <c r="G109" s="47" t="s">
        <v>6224</v>
      </c>
      <c r="H109" s="26" t="s">
        <v>6223</v>
      </c>
      <c r="I109" s="47" t="s">
        <v>6225</v>
      </c>
      <c r="J109" s="26" t="s">
        <v>6224</v>
      </c>
      <c r="K109" s="27"/>
      <c r="L109" s="28" t="s">
        <v>6223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4825</v>
      </c>
      <c r="C110" s="44" t="s">
        <v>4826</v>
      </c>
      <c r="D110" s="42" t="s">
        <v>4616</v>
      </c>
      <c r="E110" s="46">
        <v>46125</v>
      </c>
      <c r="F110" s="26" t="s">
        <v>6222</v>
      </c>
      <c r="G110" s="47" t="s">
        <v>6232</v>
      </c>
      <c r="H110" s="26" t="s">
        <v>6223</v>
      </c>
      <c r="I110" s="47" t="s">
        <v>6232</v>
      </c>
      <c r="J110" s="26" t="s">
        <v>6224</v>
      </c>
      <c r="K110" s="27"/>
      <c r="L110" s="28" t="s">
        <v>6223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4827</v>
      </c>
      <c r="C111" s="25" t="s">
        <v>4828</v>
      </c>
      <c r="D111" s="23" t="s">
        <v>4616</v>
      </c>
      <c r="E111" s="46">
        <v>46125</v>
      </c>
      <c r="F111" s="26" t="s">
        <v>6222</v>
      </c>
      <c r="G111" s="47" t="s">
        <v>6232</v>
      </c>
      <c r="H111" s="26" t="s">
        <v>6223</v>
      </c>
      <c r="I111" s="47" t="s">
        <v>6232</v>
      </c>
      <c r="J111" s="26" t="s">
        <v>6224</v>
      </c>
      <c r="K111" s="27"/>
      <c r="L111" s="28" t="s">
        <v>6223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4829</v>
      </c>
      <c r="C112" s="44" t="s">
        <v>4830</v>
      </c>
      <c r="D112" s="42" t="s">
        <v>4616</v>
      </c>
      <c r="E112" s="46">
        <v>46125</v>
      </c>
      <c r="F112" s="26" t="s">
        <v>6222</v>
      </c>
      <c r="G112" s="47" t="s">
        <v>6224</v>
      </c>
      <c r="H112" s="26" t="s">
        <v>6223</v>
      </c>
      <c r="I112" s="47" t="s">
        <v>6225</v>
      </c>
      <c r="J112" s="26" t="s">
        <v>6224</v>
      </c>
      <c r="K112" s="27"/>
      <c r="L112" s="28" t="s">
        <v>6223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4831</v>
      </c>
      <c r="C113" s="25" t="s">
        <v>4832</v>
      </c>
      <c r="D113" s="23" t="s">
        <v>4616</v>
      </c>
      <c r="E113" s="46">
        <v>46125</v>
      </c>
      <c r="F113" s="26" t="s">
        <v>6222</v>
      </c>
      <c r="G113" s="47" t="s">
        <v>6232</v>
      </c>
      <c r="H113" s="26" t="s">
        <v>6223</v>
      </c>
      <c r="I113" s="47" t="s">
        <v>6232</v>
      </c>
      <c r="J113" s="26" t="s">
        <v>6224</v>
      </c>
      <c r="K113" s="27"/>
      <c r="L113" s="28" t="s">
        <v>6223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4833</v>
      </c>
      <c r="C114" s="44" t="s">
        <v>4834</v>
      </c>
      <c r="D114" s="42" t="s">
        <v>4616</v>
      </c>
      <c r="E114" s="46">
        <v>46125</v>
      </c>
      <c r="F114" s="26" t="s">
        <v>6222</v>
      </c>
      <c r="G114" s="47" t="s">
        <v>6232</v>
      </c>
      <c r="H114" s="26" t="s">
        <v>6223</v>
      </c>
      <c r="I114" s="47" t="s">
        <v>6232</v>
      </c>
      <c r="J114" s="26" t="s">
        <v>6224</v>
      </c>
      <c r="K114" s="27"/>
      <c r="L114" s="28" t="s">
        <v>6223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4835</v>
      </c>
      <c r="C115" s="25" t="s">
        <v>4836</v>
      </c>
      <c r="D115" s="23" t="s">
        <v>4616</v>
      </c>
      <c r="E115" s="46">
        <v>46125</v>
      </c>
      <c r="F115" s="26" t="s">
        <v>6222</v>
      </c>
      <c r="G115" s="47" t="s">
        <v>6232</v>
      </c>
      <c r="H115" s="26" t="s">
        <v>6223</v>
      </c>
      <c r="I115" s="47" t="s">
        <v>6232</v>
      </c>
      <c r="J115" s="26" t="s">
        <v>6224</v>
      </c>
      <c r="K115" s="27"/>
      <c r="L115" s="28" t="s">
        <v>6223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4837</v>
      </c>
      <c r="C116" s="44" t="s">
        <v>4838</v>
      </c>
      <c r="D116" s="42" t="s">
        <v>4616</v>
      </c>
      <c r="E116" s="46">
        <v>46125</v>
      </c>
      <c r="F116" s="26" t="s">
        <v>6222</v>
      </c>
      <c r="G116" s="47" t="s">
        <v>6232</v>
      </c>
      <c r="H116" s="26" t="s">
        <v>6223</v>
      </c>
      <c r="I116" s="47" t="s">
        <v>6232</v>
      </c>
      <c r="J116" s="26" t="s">
        <v>6224</v>
      </c>
      <c r="K116" s="27"/>
      <c r="L116" s="28" t="s">
        <v>6223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4839</v>
      </c>
      <c r="C117" s="25" t="s">
        <v>4840</v>
      </c>
      <c r="D117" s="23" t="s">
        <v>4616</v>
      </c>
      <c r="E117" s="46">
        <v>46125</v>
      </c>
      <c r="F117" s="26" t="s">
        <v>6222</v>
      </c>
      <c r="G117" s="47" t="s">
        <v>6232</v>
      </c>
      <c r="H117" s="26" t="s">
        <v>6223</v>
      </c>
      <c r="I117" s="47" t="s">
        <v>6232</v>
      </c>
      <c r="J117" s="26" t="s">
        <v>6224</v>
      </c>
      <c r="K117" s="27"/>
      <c r="L117" s="28" t="s">
        <v>6223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4841</v>
      </c>
      <c r="C118" s="44" t="s">
        <v>4842</v>
      </c>
      <c r="D118" s="42" t="s">
        <v>4616</v>
      </c>
      <c r="E118" s="46">
        <v>46125</v>
      </c>
      <c r="F118" s="26" t="s">
        <v>6222</v>
      </c>
      <c r="G118" s="47" t="s">
        <v>6232</v>
      </c>
      <c r="H118" s="26" t="s">
        <v>6223</v>
      </c>
      <c r="I118" s="47" t="s">
        <v>6232</v>
      </c>
      <c r="J118" s="26" t="s">
        <v>6224</v>
      </c>
      <c r="K118" s="27"/>
      <c r="L118" s="28" t="s">
        <v>6223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4843</v>
      </c>
      <c r="C119" s="25" t="s">
        <v>4844</v>
      </c>
      <c r="D119" s="23" t="s">
        <v>4616</v>
      </c>
      <c r="E119" s="46">
        <v>46125</v>
      </c>
      <c r="F119" s="26" t="s">
        <v>6222</v>
      </c>
      <c r="G119" s="47" t="s">
        <v>6232</v>
      </c>
      <c r="H119" s="26" t="s">
        <v>6223</v>
      </c>
      <c r="I119" s="47" t="s">
        <v>6232</v>
      </c>
      <c r="J119" s="26" t="s">
        <v>6224</v>
      </c>
      <c r="K119" s="27"/>
      <c r="L119" s="28" t="s">
        <v>6223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4845</v>
      </c>
      <c r="C120" s="44" t="s">
        <v>4846</v>
      </c>
      <c r="D120" s="42" t="s">
        <v>4616</v>
      </c>
      <c r="E120" s="46">
        <v>46125</v>
      </c>
      <c r="F120" s="26" t="s">
        <v>6222</v>
      </c>
      <c r="G120" s="47" t="s">
        <v>6232</v>
      </c>
      <c r="H120" s="26" t="s">
        <v>6223</v>
      </c>
      <c r="I120" s="47" t="s">
        <v>6232</v>
      </c>
      <c r="J120" s="26" t="s">
        <v>6224</v>
      </c>
      <c r="K120" s="27"/>
      <c r="L120" s="28" t="s">
        <v>6223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4847</v>
      </c>
      <c r="C121" s="25" t="s">
        <v>4848</v>
      </c>
      <c r="D121" s="23" t="s">
        <v>4616</v>
      </c>
      <c r="E121" s="46">
        <v>46125</v>
      </c>
      <c r="F121" s="26" t="s">
        <v>6222</v>
      </c>
      <c r="G121" s="47" t="s">
        <v>6232</v>
      </c>
      <c r="H121" s="26" t="s">
        <v>6223</v>
      </c>
      <c r="I121" s="47" t="s">
        <v>6232</v>
      </c>
      <c r="J121" s="26" t="s">
        <v>6224</v>
      </c>
      <c r="K121" s="27"/>
      <c r="L121" s="28" t="s">
        <v>6223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4849</v>
      </c>
      <c r="C122" s="44" t="s">
        <v>4850</v>
      </c>
      <c r="D122" s="42" t="s">
        <v>4616</v>
      </c>
      <c r="E122" s="46">
        <v>46125</v>
      </c>
      <c r="F122" s="26" t="s">
        <v>6222</v>
      </c>
      <c r="G122" s="47" t="s">
        <v>6232</v>
      </c>
      <c r="H122" s="26" t="s">
        <v>6223</v>
      </c>
      <c r="I122" s="47" t="s">
        <v>6232</v>
      </c>
      <c r="J122" s="26" t="s">
        <v>6224</v>
      </c>
      <c r="K122" s="27"/>
      <c r="L122" s="28" t="s">
        <v>6223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4851</v>
      </c>
      <c r="C123" s="25" t="s">
        <v>4852</v>
      </c>
      <c r="D123" s="23" t="s">
        <v>4616</v>
      </c>
      <c r="E123" s="46">
        <v>46125</v>
      </c>
      <c r="F123" s="26" t="s">
        <v>6222</v>
      </c>
      <c r="G123" s="47" t="s">
        <v>6232</v>
      </c>
      <c r="H123" s="26" t="s">
        <v>6223</v>
      </c>
      <c r="I123" s="47" t="s">
        <v>6232</v>
      </c>
      <c r="J123" s="26" t="s">
        <v>6224</v>
      </c>
      <c r="K123" s="27"/>
      <c r="L123" s="28" t="s">
        <v>6223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4853</v>
      </c>
      <c r="C124" s="44" t="s">
        <v>4854</v>
      </c>
      <c r="D124" s="42" t="s">
        <v>4616</v>
      </c>
      <c r="E124" s="46">
        <v>46125</v>
      </c>
      <c r="F124" s="26" t="s">
        <v>6222</v>
      </c>
      <c r="G124" s="47" t="s">
        <v>6232</v>
      </c>
      <c r="H124" s="26" t="s">
        <v>6223</v>
      </c>
      <c r="I124" s="47" t="s">
        <v>6232</v>
      </c>
      <c r="J124" s="26" t="s">
        <v>6224</v>
      </c>
      <c r="K124" s="27"/>
      <c r="L124" s="28" t="s">
        <v>6223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4855</v>
      </c>
      <c r="C125" s="25" t="s">
        <v>4856</v>
      </c>
      <c r="D125" s="23" t="s">
        <v>4616</v>
      </c>
      <c r="E125" s="46">
        <v>46125</v>
      </c>
      <c r="F125" s="26" t="s">
        <v>6222</v>
      </c>
      <c r="G125" s="47" t="s">
        <v>6232</v>
      </c>
      <c r="H125" s="26" t="s">
        <v>6223</v>
      </c>
      <c r="I125" s="47" t="s">
        <v>6232</v>
      </c>
      <c r="J125" s="26" t="s">
        <v>6224</v>
      </c>
      <c r="K125" s="27"/>
      <c r="L125" s="28" t="s">
        <v>6223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4857</v>
      </c>
      <c r="C126" s="44" t="s">
        <v>4858</v>
      </c>
      <c r="D126" s="42" t="s">
        <v>4616</v>
      </c>
      <c r="E126" s="46">
        <v>46125</v>
      </c>
      <c r="F126" s="26" t="s">
        <v>6222</v>
      </c>
      <c r="G126" s="47" t="s">
        <v>6224</v>
      </c>
      <c r="H126" s="26" t="s">
        <v>6223</v>
      </c>
      <c r="I126" s="47" t="s">
        <v>6225</v>
      </c>
      <c r="J126" s="26" t="s">
        <v>6224</v>
      </c>
      <c r="K126" s="27"/>
      <c r="L126" s="28" t="s">
        <v>6223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4859</v>
      </c>
      <c r="C127" s="25" t="s">
        <v>4860</v>
      </c>
      <c r="D127" s="23" t="s">
        <v>4616</v>
      </c>
      <c r="E127" s="46">
        <v>46125</v>
      </c>
      <c r="F127" s="26" t="s">
        <v>6222</v>
      </c>
      <c r="G127" s="47" t="s">
        <v>6232</v>
      </c>
      <c r="H127" s="26" t="s">
        <v>6223</v>
      </c>
      <c r="I127" s="47" t="s">
        <v>6232</v>
      </c>
      <c r="J127" s="26" t="s">
        <v>6224</v>
      </c>
      <c r="K127" s="27"/>
      <c r="L127" s="28" t="s">
        <v>6223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4861</v>
      </c>
      <c r="C128" s="44" t="s">
        <v>4862</v>
      </c>
      <c r="D128" s="42" t="s">
        <v>4616</v>
      </c>
      <c r="E128" s="46">
        <v>46125</v>
      </c>
      <c r="F128" s="26" t="s">
        <v>6222</v>
      </c>
      <c r="G128" s="47" t="s">
        <v>6224</v>
      </c>
      <c r="H128" s="26" t="s">
        <v>6223</v>
      </c>
      <c r="I128" s="47" t="s">
        <v>6225</v>
      </c>
      <c r="J128" s="26" t="s">
        <v>6224</v>
      </c>
      <c r="K128" s="27"/>
      <c r="L128" s="28" t="s">
        <v>6223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4863</v>
      </c>
      <c r="C129" s="25" t="s">
        <v>4864</v>
      </c>
      <c r="D129" s="23" t="s">
        <v>4616</v>
      </c>
      <c r="E129" s="46">
        <v>46125</v>
      </c>
      <c r="F129" s="26" t="s">
        <v>6222</v>
      </c>
      <c r="G129" s="47" t="s">
        <v>6232</v>
      </c>
      <c r="H129" s="26" t="s">
        <v>6223</v>
      </c>
      <c r="I129" s="47" t="s">
        <v>6232</v>
      </c>
      <c r="J129" s="26" t="s">
        <v>6224</v>
      </c>
      <c r="K129" s="27"/>
      <c r="L129" s="28" t="s">
        <v>6223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4865</v>
      </c>
      <c r="C130" s="44" t="s">
        <v>4866</v>
      </c>
      <c r="D130" s="42" t="s">
        <v>4616</v>
      </c>
      <c r="E130" s="46">
        <v>46125</v>
      </c>
      <c r="F130" s="26" t="s">
        <v>6222</v>
      </c>
      <c r="G130" s="47" t="s">
        <v>6224</v>
      </c>
      <c r="H130" s="26" t="s">
        <v>6223</v>
      </c>
      <c r="I130" s="47" t="s">
        <v>6225</v>
      </c>
      <c r="J130" s="26" t="s">
        <v>6224</v>
      </c>
      <c r="K130" s="27"/>
      <c r="L130" s="28" t="s">
        <v>6223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4867</v>
      </c>
      <c r="C131" s="25" t="s">
        <v>4868</v>
      </c>
      <c r="D131" s="23" t="s">
        <v>4616</v>
      </c>
      <c r="E131" s="46">
        <v>46125</v>
      </c>
      <c r="F131" s="26" t="s">
        <v>6222</v>
      </c>
      <c r="G131" s="47" t="s">
        <v>6232</v>
      </c>
      <c r="H131" s="26" t="s">
        <v>6223</v>
      </c>
      <c r="I131" s="47" t="s">
        <v>6232</v>
      </c>
      <c r="J131" s="26" t="s">
        <v>6224</v>
      </c>
      <c r="K131" s="27"/>
      <c r="L131" s="28" t="s">
        <v>6223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4869</v>
      </c>
      <c r="C132" s="44" t="s">
        <v>4870</v>
      </c>
      <c r="D132" s="42" t="s">
        <v>4616</v>
      </c>
      <c r="E132" s="46">
        <v>46125</v>
      </c>
      <c r="F132" s="26" t="s">
        <v>6222</v>
      </c>
      <c r="G132" s="47" t="s">
        <v>6232</v>
      </c>
      <c r="H132" s="26" t="s">
        <v>6223</v>
      </c>
      <c r="I132" s="47" t="s">
        <v>6232</v>
      </c>
      <c r="J132" s="26" t="s">
        <v>6224</v>
      </c>
      <c r="K132" s="27"/>
      <c r="L132" s="28" t="s">
        <v>6223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4871</v>
      </c>
      <c r="C133" s="25" t="s">
        <v>4872</v>
      </c>
      <c r="D133" s="23" t="s">
        <v>4616</v>
      </c>
      <c r="E133" s="46">
        <v>46125</v>
      </c>
      <c r="F133" s="26" t="s">
        <v>6222</v>
      </c>
      <c r="G133" s="47" t="s">
        <v>6232</v>
      </c>
      <c r="H133" s="26" t="s">
        <v>6223</v>
      </c>
      <c r="I133" s="47" t="s">
        <v>6232</v>
      </c>
      <c r="J133" s="26" t="s">
        <v>6224</v>
      </c>
      <c r="K133" s="27"/>
      <c r="L133" s="28" t="s">
        <v>6223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4873</v>
      </c>
      <c r="C134" s="44" t="s">
        <v>4874</v>
      </c>
      <c r="D134" s="42" t="s">
        <v>4616</v>
      </c>
      <c r="E134" s="46">
        <v>46125</v>
      </c>
      <c r="F134" s="26" t="s">
        <v>6222</v>
      </c>
      <c r="G134" s="47" t="s">
        <v>6232</v>
      </c>
      <c r="H134" s="26" t="s">
        <v>6223</v>
      </c>
      <c r="I134" s="47" t="s">
        <v>6232</v>
      </c>
      <c r="J134" s="26" t="s">
        <v>6224</v>
      </c>
      <c r="K134" s="27"/>
      <c r="L134" s="28" t="s">
        <v>6223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4875</v>
      </c>
      <c r="C135" s="25" t="s">
        <v>4876</v>
      </c>
      <c r="D135" s="23" t="s">
        <v>4616</v>
      </c>
      <c r="E135" s="46">
        <v>46125</v>
      </c>
      <c r="F135" s="26" t="s">
        <v>6222</v>
      </c>
      <c r="G135" s="47" t="s">
        <v>6224</v>
      </c>
      <c r="H135" s="26" t="s">
        <v>6223</v>
      </c>
      <c r="I135" s="47" t="s">
        <v>6225</v>
      </c>
      <c r="J135" s="26" t="s">
        <v>6224</v>
      </c>
      <c r="K135" s="27"/>
      <c r="L135" s="28" t="s">
        <v>6223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4877</v>
      </c>
      <c r="C136" s="44" t="s">
        <v>4878</v>
      </c>
      <c r="D136" s="42" t="s">
        <v>4616</v>
      </c>
      <c r="E136" s="46">
        <v>46125</v>
      </c>
      <c r="F136" s="26" t="s">
        <v>6222</v>
      </c>
      <c r="G136" s="47" t="s">
        <v>6232</v>
      </c>
      <c r="H136" s="26" t="s">
        <v>6223</v>
      </c>
      <c r="I136" s="47" t="s">
        <v>6232</v>
      </c>
      <c r="J136" s="26" t="s">
        <v>6224</v>
      </c>
      <c r="K136" s="27"/>
      <c r="L136" s="28" t="s">
        <v>6223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4879</v>
      </c>
      <c r="C137" s="25" t="s">
        <v>4880</v>
      </c>
      <c r="D137" s="23" t="s">
        <v>4616</v>
      </c>
      <c r="E137" s="46">
        <v>46125</v>
      </c>
      <c r="F137" s="26" t="s">
        <v>6222</v>
      </c>
      <c r="G137" s="47" t="s">
        <v>6232</v>
      </c>
      <c r="H137" s="26" t="s">
        <v>6223</v>
      </c>
      <c r="I137" s="47" t="s">
        <v>6232</v>
      </c>
      <c r="J137" s="26" t="s">
        <v>6224</v>
      </c>
      <c r="K137" s="27"/>
      <c r="L137" s="28" t="s">
        <v>6223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4881</v>
      </c>
      <c r="C138" s="44" t="s">
        <v>4882</v>
      </c>
      <c r="D138" s="42" t="s">
        <v>4616</v>
      </c>
      <c r="E138" s="46">
        <v>46125</v>
      </c>
      <c r="F138" s="26" t="s">
        <v>6222</v>
      </c>
      <c r="G138" s="47" t="s">
        <v>6232</v>
      </c>
      <c r="H138" s="26" t="s">
        <v>6223</v>
      </c>
      <c r="I138" s="47" t="s">
        <v>6232</v>
      </c>
      <c r="J138" s="26" t="s">
        <v>6224</v>
      </c>
      <c r="K138" s="27"/>
      <c r="L138" s="28" t="s">
        <v>6223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4883</v>
      </c>
      <c r="C139" s="25" t="s">
        <v>4884</v>
      </c>
      <c r="D139" s="23" t="s">
        <v>4616</v>
      </c>
      <c r="E139" s="46">
        <v>46125</v>
      </c>
      <c r="F139" s="26" t="s">
        <v>6222</v>
      </c>
      <c r="G139" s="47" t="s">
        <v>6232</v>
      </c>
      <c r="H139" s="26" t="s">
        <v>6223</v>
      </c>
      <c r="I139" s="47" t="s">
        <v>6232</v>
      </c>
      <c r="J139" s="26" t="s">
        <v>6224</v>
      </c>
      <c r="K139" s="27"/>
      <c r="L139" s="28" t="s">
        <v>6223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4885</v>
      </c>
      <c r="C140" s="44" t="s">
        <v>4886</v>
      </c>
      <c r="D140" s="42" t="s">
        <v>4616</v>
      </c>
      <c r="E140" s="46">
        <v>46125</v>
      </c>
      <c r="F140" s="26" t="s">
        <v>6222</v>
      </c>
      <c r="G140" s="47" t="s">
        <v>6232</v>
      </c>
      <c r="H140" s="26" t="s">
        <v>6223</v>
      </c>
      <c r="I140" s="47" t="s">
        <v>6232</v>
      </c>
      <c r="J140" s="26" t="s">
        <v>6224</v>
      </c>
      <c r="K140" s="27"/>
      <c r="L140" s="28" t="s">
        <v>6223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4887</v>
      </c>
      <c r="C141" s="25" t="s">
        <v>4888</v>
      </c>
      <c r="D141" s="23" t="s">
        <v>4616</v>
      </c>
      <c r="E141" s="46">
        <v>46125</v>
      </c>
      <c r="F141" s="26" t="s">
        <v>6222</v>
      </c>
      <c r="G141" s="47" t="s">
        <v>6232</v>
      </c>
      <c r="H141" s="26" t="s">
        <v>6223</v>
      </c>
      <c r="I141" s="47" t="s">
        <v>6232</v>
      </c>
      <c r="J141" s="26" t="s">
        <v>6224</v>
      </c>
      <c r="K141" s="27"/>
      <c r="L141" s="28" t="s">
        <v>6223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4889</v>
      </c>
      <c r="C142" s="44" t="s">
        <v>4890</v>
      </c>
      <c r="D142" s="42" t="s">
        <v>4616</v>
      </c>
      <c r="E142" s="46">
        <v>46125</v>
      </c>
      <c r="F142" s="26" t="s">
        <v>6222</v>
      </c>
      <c r="G142" s="47" t="s">
        <v>6232</v>
      </c>
      <c r="H142" s="26" t="s">
        <v>6223</v>
      </c>
      <c r="I142" s="47" t="s">
        <v>6232</v>
      </c>
      <c r="J142" s="26" t="s">
        <v>6224</v>
      </c>
      <c r="K142" s="27"/>
      <c r="L142" s="28" t="s">
        <v>6223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4891</v>
      </c>
      <c r="C143" s="25" t="s">
        <v>4892</v>
      </c>
      <c r="D143" s="23" t="s">
        <v>4616</v>
      </c>
      <c r="E143" s="46">
        <v>46125</v>
      </c>
      <c r="F143" s="26" t="s">
        <v>6222</v>
      </c>
      <c r="G143" s="47" t="s">
        <v>6232</v>
      </c>
      <c r="H143" s="26" t="s">
        <v>6223</v>
      </c>
      <c r="I143" s="47" t="s">
        <v>6232</v>
      </c>
      <c r="J143" s="26" t="s">
        <v>6224</v>
      </c>
      <c r="K143" s="27"/>
      <c r="L143" s="28" t="s">
        <v>6223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4893</v>
      </c>
      <c r="C144" s="44" t="s">
        <v>4894</v>
      </c>
      <c r="D144" s="42" t="s">
        <v>4616</v>
      </c>
      <c r="E144" s="46">
        <v>46125</v>
      </c>
      <c r="F144" s="26" t="s">
        <v>6222</v>
      </c>
      <c r="G144" s="47" t="s">
        <v>6232</v>
      </c>
      <c r="H144" s="26" t="s">
        <v>6223</v>
      </c>
      <c r="I144" s="47" t="s">
        <v>6232</v>
      </c>
      <c r="J144" s="26" t="s">
        <v>6224</v>
      </c>
      <c r="K144" s="27"/>
      <c r="L144" s="28" t="s">
        <v>6223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4895</v>
      </c>
      <c r="C145" s="25" t="s">
        <v>4896</v>
      </c>
      <c r="D145" s="23" t="s">
        <v>4616</v>
      </c>
      <c r="E145" s="46">
        <v>46125</v>
      </c>
      <c r="F145" s="26" t="s">
        <v>6222</v>
      </c>
      <c r="G145" s="47" t="s">
        <v>6232</v>
      </c>
      <c r="H145" s="26" t="s">
        <v>6223</v>
      </c>
      <c r="I145" s="47" t="s">
        <v>6232</v>
      </c>
      <c r="J145" s="26" t="s">
        <v>6224</v>
      </c>
      <c r="K145" s="27"/>
      <c r="L145" s="28" t="s">
        <v>6223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4897</v>
      </c>
      <c r="C146" s="44" t="s">
        <v>4898</v>
      </c>
      <c r="D146" s="42" t="s">
        <v>4616</v>
      </c>
      <c r="E146" s="46">
        <v>46125</v>
      </c>
      <c r="F146" s="26" t="s">
        <v>6222</v>
      </c>
      <c r="G146" s="47" t="s">
        <v>6224</v>
      </c>
      <c r="H146" s="26" t="s">
        <v>6223</v>
      </c>
      <c r="I146" s="47" t="s">
        <v>6225</v>
      </c>
      <c r="J146" s="26" t="s">
        <v>6224</v>
      </c>
      <c r="K146" s="27"/>
      <c r="L146" s="28" t="s">
        <v>6223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4899</v>
      </c>
      <c r="C147" s="25" t="s">
        <v>4900</v>
      </c>
      <c r="D147" s="23" t="s">
        <v>4616</v>
      </c>
      <c r="E147" s="46">
        <v>46125</v>
      </c>
      <c r="F147" s="26" t="s">
        <v>6222</v>
      </c>
      <c r="G147" s="47" t="s">
        <v>6232</v>
      </c>
      <c r="H147" s="26" t="s">
        <v>6223</v>
      </c>
      <c r="I147" s="47" t="s">
        <v>6232</v>
      </c>
      <c r="J147" s="26" t="s">
        <v>6224</v>
      </c>
      <c r="K147" s="27"/>
      <c r="L147" s="28" t="s">
        <v>6223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4901</v>
      </c>
      <c r="C148" s="44" t="s">
        <v>4902</v>
      </c>
      <c r="D148" s="42" t="s">
        <v>4616</v>
      </c>
      <c r="E148" s="46">
        <v>46125</v>
      </c>
      <c r="F148" s="26" t="s">
        <v>6222</v>
      </c>
      <c r="G148" s="47" t="s">
        <v>6232</v>
      </c>
      <c r="H148" s="26" t="s">
        <v>6223</v>
      </c>
      <c r="I148" s="47" t="s">
        <v>6232</v>
      </c>
      <c r="J148" s="26" t="s">
        <v>6224</v>
      </c>
      <c r="K148" s="27"/>
      <c r="L148" s="28" t="s">
        <v>6223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4903</v>
      </c>
      <c r="C149" s="25" t="s">
        <v>4904</v>
      </c>
      <c r="D149" s="23" t="s">
        <v>4616</v>
      </c>
      <c r="E149" s="46">
        <v>46125</v>
      </c>
      <c r="F149" s="26" t="s">
        <v>6222</v>
      </c>
      <c r="G149" s="47" t="s">
        <v>6232</v>
      </c>
      <c r="H149" s="26" t="s">
        <v>6223</v>
      </c>
      <c r="I149" s="47" t="s">
        <v>6232</v>
      </c>
      <c r="J149" s="26" t="s">
        <v>6224</v>
      </c>
      <c r="K149" s="27"/>
      <c r="L149" s="28" t="s">
        <v>6223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4905</v>
      </c>
      <c r="C150" s="44" t="s">
        <v>4906</v>
      </c>
      <c r="D150" s="42" t="s">
        <v>4616</v>
      </c>
      <c r="E150" s="46">
        <v>46125</v>
      </c>
      <c r="F150" s="26" t="s">
        <v>6222</v>
      </c>
      <c r="G150" s="47" t="s">
        <v>6232</v>
      </c>
      <c r="H150" s="26" t="s">
        <v>6223</v>
      </c>
      <c r="I150" s="47" t="s">
        <v>6232</v>
      </c>
      <c r="J150" s="26" t="s">
        <v>6224</v>
      </c>
      <c r="K150" s="27"/>
      <c r="L150" s="28" t="s">
        <v>6223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4907</v>
      </c>
      <c r="C151" s="25" t="s">
        <v>4908</v>
      </c>
      <c r="D151" s="23" t="s">
        <v>4616</v>
      </c>
      <c r="E151" s="46">
        <v>46125</v>
      </c>
      <c r="F151" s="26" t="s">
        <v>6222</v>
      </c>
      <c r="G151" s="47" t="s">
        <v>6232</v>
      </c>
      <c r="H151" s="26" t="s">
        <v>6223</v>
      </c>
      <c r="I151" s="47" t="s">
        <v>6232</v>
      </c>
      <c r="J151" s="26" t="s">
        <v>6224</v>
      </c>
      <c r="K151" s="27"/>
      <c r="L151" s="28" t="s">
        <v>6223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4909</v>
      </c>
      <c r="C152" s="44" t="s">
        <v>4910</v>
      </c>
      <c r="D152" s="42" t="s">
        <v>4616</v>
      </c>
      <c r="E152" s="46">
        <v>46125</v>
      </c>
      <c r="F152" s="26" t="s">
        <v>6222</v>
      </c>
      <c r="G152" s="47" t="s">
        <v>6224</v>
      </c>
      <c r="H152" s="26" t="s">
        <v>6223</v>
      </c>
      <c r="I152" s="47" t="s">
        <v>6225</v>
      </c>
      <c r="J152" s="26" t="s">
        <v>6224</v>
      </c>
      <c r="K152" s="27"/>
      <c r="L152" s="28" t="s">
        <v>6223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4911</v>
      </c>
      <c r="C153" s="25" t="s">
        <v>4912</v>
      </c>
      <c r="D153" s="23" t="s">
        <v>4616</v>
      </c>
      <c r="E153" s="46">
        <v>46125</v>
      </c>
      <c r="F153" s="26" t="s">
        <v>6222</v>
      </c>
      <c r="G153" s="47" t="s">
        <v>6232</v>
      </c>
      <c r="H153" s="26" t="s">
        <v>6223</v>
      </c>
      <c r="I153" s="47" t="s">
        <v>6232</v>
      </c>
      <c r="J153" s="26" t="s">
        <v>6224</v>
      </c>
      <c r="K153" s="27"/>
      <c r="L153" s="28" t="s">
        <v>6223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4913</v>
      </c>
      <c r="C154" s="44" t="s">
        <v>4914</v>
      </c>
      <c r="D154" s="42" t="s">
        <v>4616</v>
      </c>
      <c r="E154" s="46">
        <v>46125</v>
      </c>
      <c r="F154" s="26" t="s">
        <v>6222</v>
      </c>
      <c r="G154" s="47" t="s">
        <v>6223</v>
      </c>
      <c r="H154" s="26" t="s">
        <v>6223</v>
      </c>
      <c r="I154" s="47" t="s">
        <v>6228</v>
      </c>
      <c r="J154" s="26" t="s">
        <v>6223</v>
      </c>
      <c r="K154" s="27"/>
      <c r="L154" s="28" t="s">
        <v>6224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4915</v>
      </c>
      <c r="C155" s="25" t="s">
        <v>4916</v>
      </c>
      <c r="D155" s="23" t="s">
        <v>4616</v>
      </c>
      <c r="E155" s="46">
        <v>46125</v>
      </c>
      <c r="F155" s="26" t="s">
        <v>6222</v>
      </c>
      <c r="G155" s="47" t="s">
        <v>6223</v>
      </c>
      <c r="H155" s="26" t="s">
        <v>6223</v>
      </c>
      <c r="I155" s="47" t="s">
        <v>6228</v>
      </c>
      <c r="J155" s="26" t="s">
        <v>6223</v>
      </c>
      <c r="K155" s="27"/>
      <c r="L155" s="28" t="s">
        <v>6224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4917</v>
      </c>
      <c r="C156" s="44" t="s">
        <v>4918</v>
      </c>
      <c r="D156" s="42" t="s">
        <v>4616</v>
      </c>
      <c r="E156" s="46">
        <v>46125</v>
      </c>
      <c r="F156" s="26" t="s">
        <v>6222</v>
      </c>
      <c r="G156" s="47" t="s">
        <v>6223</v>
      </c>
      <c r="H156" s="26" t="s">
        <v>6223</v>
      </c>
      <c r="I156" s="47" t="s">
        <v>6228</v>
      </c>
      <c r="J156" s="26" t="s">
        <v>6223</v>
      </c>
      <c r="K156" s="27"/>
      <c r="L156" s="28" t="s">
        <v>6224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4919</v>
      </c>
      <c r="C157" s="25" t="s">
        <v>4920</v>
      </c>
      <c r="D157" s="23" t="s">
        <v>4616</v>
      </c>
      <c r="E157" s="46">
        <v>46125</v>
      </c>
      <c r="F157" s="26" t="s">
        <v>6222</v>
      </c>
      <c r="G157" s="47" t="s">
        <v>6223</v>
      </c>
      <c r="H157" s="26" t="s">
        <v>6223</v>
      </c>
      <c r="I157" s="47" t="s">
        <v>6228</v>
      </c>
      <c r="J157" s="26" t="s">
        <v>6223</v>
      </c>
      <c r="K157" s="27"/>
      <c r="L157" s="28" t="s">
        <v>6224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4921</v>
      </c>
      <c r="C158" s="44" t="s">
        <v>4922</v>
      </c>
      <c r="D158" s="42" t="s">
        <v>4616</v>
      </c>
      <c r="E158" s="46">
        <v>46125</v>
      </c>
      <c r="F158" s="26" t="s">
        <v>6222</v>
      </c>
      <c r="G158" s="47" t="s">
        <v>6223</v>
      </c>
      <c r="H158" s="26" t="s">
        <v>6223</v>
      </c>
      <c r="I158" s="47" t="s">
        <v>6228</v>
      </c>
      <c r="J158" s="26" t="s">
        <v>6223</v>
      </c>
      <c r="K158" s="27"/>
      <c r="L158" s="28" t="s">
        <v>6224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4923</v>
      </c>
      <c r="C159" s="25" t="s">
        <v>4924</v>
      </c>
      <c r="D159" s="23" t="s">
        <v>4616</v>
      </c>
      <c r="E159" s="46">
        <v>46125</v>
      </c>
      <c r="F159" s="26" t="s">
        <v>6222</v>
      </c>
      <c r="G159" s="47" t="s">
        <v>6223</v>
      </c>
      <c r="H159" s="26" t="s">
        <v>6223</v>
      </c>
      <c r="I159" s="47" t="s">
        <v>6228</v>
      </c>
      <c r="J159" s="26" t="s">
        <v>6223</v>
      </c>
      <c r="K159" s="27"/>
      <c r="L159" s="28" t="s">
        <v>6224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4925</v>
      </c>
      <c r="C160" s="44" t="s">
        <v>4926</v>
      </c>
      <c r="D160" s="42" t="s">
        <v>4616</v>
      </c>
      <c r="E160" s="46">
        <v>46125</v>
      </c>
      <c r="F160" s="26" t="s">
        <v>6222</v>
      </c>
      <c r="G160" s="47" t="s">
        <v>6232</v>
      </c>
      <c r="H160" s="26" t="s">
        <v>6223</v>
      </c>
      <c r="I160" s="47" t="s">
        <v>6232</v>
      </c>
      <c r="J160" s="26" t="s">
        <v>6224</v>
      </c>
      <c r="K160" s="27"/>
      <c r="L160" s="28" t="s">
        <v>6223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4927</v>
      </c>
      <c r="C161" s="25" t="s">
        <v>4928</v>
      </c>
      <c r="D161" s="23" t="s">
        <v>4616</v>
      </c>
      <c r="E161" s="46">
        <v>46125</v>
      </c>
      <c r="F161" s="26" t="s">
        <v>6222</v>
      </c>
      <c r="G161" s="47" t="s">
        <v>6232</v>
      </c>
      <c r="H161" s="26" t="s">
        <v>6223</v>
      </c>
      <c r="I161" s="47" t="s">
        <v>6232</v>
      </c>
      <c r="J161" s="26" t="s">
        <v>6224</v>
      </c>
      <c r="K161" s="27"/>
      <c r="L161" s="28" t="s">
        <v>6223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4929</v>
      </c>
      <c r="C162" s="44" t="s">
        <v>4930</v>
      </c>
      <c r="D162" s="42" t="s">
        <v>4616</v>
      </c>
      <c r="E162" s="46">
        <v>46125</v>
      </c>
      <c r="F162" s="26" t="s">
        <v>6222</v>
      </c>
      <c r="G162" s="47" t="s">
        <v>6232</v>
      </c>
      <c r="H162" s="26" t="s">
        <v>6223</v>
      </c>
      <c r="I162" s="47" t="s">
        <v>6232</v>
      </c>
      <c r="J162" s="26" t="s">
        <v>6224</v>
      </c>
      <c r="K162" s="27"/>
      <c r="L162" s="28" t="s">
        <v>6223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4931</v>
      </c>
      <c r="C163" s="25" t="s">
        <v>4932</v>
      </c>
      <c r="D163" s="23" t="s">
        <v>4616</v>
      </c>
      <c r="E163" s="46">
        <v>46125</v>
      </c>
      <c r="F163" s="26" t="s">
        <v>6222</v>
      </c>
      <c r="G163" s="47" t="s">
        <v>6224</v>
      </c>
      <c r="H163" s="26" t="s">
        <v>6223</v>
      </c>
      <c r="I163" s="47" t="s">
        <v>6225</v>
      </c>
      <c r="J163" s="26" t="s">
        <v>6224</v>
      </c>
      <c r="K163" s="27"/>
      <c r="L163" s="28" t="s">
        <v>6223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4933</v>
      </c>
      <c r="C164" s="44" t="s">
        <v>4934</v>
      </c>
      <c r="D164" s="42" t="s">
        <v>4616</v>
      </c>
      <c r="E164" s="46">
        <v>46125</v>
      </c>
      <c r="F164" s="26" t="s">
        <v>6222</v>
      </c>
      <c r="G164" s="47" t="s">
        <v>6232</v>
      </c>
      <c r="H164" s="26" t="s">
        <v>6223</v>
      </c>
      <c r="I164" s="47" t="s">
        <v>6232</v>
      </c>
      <c r="J164" s="26" t="s">
        <v>6224</v>
      </c>
      <c r="K164" s="27"/>
      <c r="L164" s="28" t="s">
        <v>6223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4935</v>
      </c>
      <c r="C165" s="25" t="s">
        <v>4936</v>
      </c>
      <c r="D165" s="23" t="s">
        <v>4616</v>
      </c>
      <c r="E165" s="46">
        <v>46125</v>
      </c>
      <c r="F165" s="26" t="s">
        <v>6222</v>
      </c>
      <c r="G165" s="47" t="s">
        <v>6232</v>
      </c>
      <c r="H165" s="26" t="s">
        <v>6223</v>
      </c>
      <c r="I165" s="47" t="s">
        <v>6232</v>
      </c>
      <c r="J165" s="26" t="s">
        <v>6224</v>
      </c>
      <c r="K165" s="27"/>
      <c r="L165" s="28" t="s">
        <v>6223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4937</v>
      </c>
      <c r="C166" s="44" t="s">
        <v>4938</v>
      </c>
      <c r="D166" s="42" t="s">
        <v>4616</v>
      </c>
      <c r="E166" s="46">
        <v>46125</v>
      </c>
      <c r="F166" s="26" t="s">
        <v>6222</v>
      </c>
      <c r="G166" s="47" t="s">
        <v>6232</v>
      </c>
      <c r="H166" s="26" t="s">
        <v>6223</v>
      </c>
      <c r="I166" s="47" t="s">
        <v>6232</v>
      </c>
      <c r="J166" s="26" t="s">
        <v>6224</v>
      </c>
      <c r="K166" s="27"/>
      <c r="L166" s="28" t="s">
        <v>6223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4939</v>
      </c>
      <c r="C167" s="25" t="s">
        <v>4940</v>
      </c>
      <c r="D167" s="23" t="s">
        <v>4616</v>
      </c>
      <c r="E167" s="46">
        <v>46125</v>
      </c>
      <c r="F167" s="26" t="s">
        <v>6222</v>
      </c>
      <c r="G167" s="47" t="s">
        <v>6232</v>
      </c>
      <c r="H167" s="26" t="s">
        <v>6223</v>
      </c>
      <c r="I167" s="47" t="s">
        <v>6232</v>
      </c>
      <c r="J167" s="26" t="s">
        <v>6224</v>
      </c>
      <c r="K167" s="27"/>
      <c r="L167" s="28" t="s">
        <v>6223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4941</v>
      </c>
      <c r="C168" s="44" t="s">
        <v>4942</v>
      </c>
      <c r="D168" s="42" t="s">
        <v>4616</v>
      </c>
      <c r="E168" s="46">
        <v>46125</v>
      </c>
      <c r="F168" s="26" t="s">
        <v>6222</v>
      </c>
      <c r="G168" s="47" t="s">
        <v>6224</v>
      </c>
      <c r="H168" s="26" t="s">
        <v>6223</v>
      </c>
      <c r="I168" s="47" t="s">
        <v>6225</v>
      </c>
      <c r="J168" s="26" t="s">
        <v>6224</v>
      </c>
      <c r="K168" s="27"/>
      <c r="L168" s="28" t="s">
        <v>6223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4943</v>
      </c>
      <c r="C169" s="25" t="s">
        <v>4944</v>
      </c>
      <c r="D169" s="23" t="s">
        <v>4616</v>
      </c>
      <c r="E169" s="46">
        <v>46125</v>
      </c>
      <c r="F169" s="26" t="s">
        <v>6222</v>
      </c>
      <c r="G169" s="47" t="s">
        <v>6232</v>
      </c>
      <c r="H169" s="26" t="s">
        <v>6223</v>
      </c>
      <c r="I169" s="47" t="s">
        <v>6232</v>
      </c>
      <c r="J169" s="26" t="s">
        <v>6224</v>
      </c>
      <c r="K169" s="27"/>
      <c r="L169" s="28" t="s">
        <v>6223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4945</v>
      </c>
      <c r="C170" s="44" t="s">
        <v>4946</v>
      </c>
      <c r="D170" s="42" t="s">
        <v>4616</v>
      </c>
      <c r="E170" s="46">
        <v>46125</v>
      </c>
      <c r="F170" s="26" t="s">
        <v>6222</v>
      </c>
      <c r="G170" s="47" t="s">
        <v>6232</v>
      </c>
      <c r="H170" s="26" t="s">
        <v>6223</v>
      </c>
      <c r="I170" s="47" t="s">
        <v>6232</v>
      </c>
      <c r="J170" s="26" t="s">
        <v>6224</v>
      </c>
      <c r="K170" s="27"/>
      <c r="L170" s="28" t="s">
        <v>6223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4947</v>
      </c>
      <c r="C171" s="25" t="s">
        <v>4948</v>
      </c>
      <c r="D171" s="23" t="s">
        <v>4616</v>
      </c>
      <c r="E171" s="46">
        <v>46125</v>
      </c>
      <c r="F171" s="26" t="s">
        <v>6222</v>
      </c>
      <c r="G171" s="47" t="s">
        <v>6232</v>
      </c>
      <c r="H171" s="26" t="s">
        <v>6223</v>
      </c>
      <c r="I171" s="47" t="s">
        <v>6232</v>
      </c>
      <c r="J171" s="26" t="s">
        <v>6224</v>
      </c>
      <c r="K171" s="27"/>
      <c r="L171" s="28" t="s">
        <v>6223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4949</v>
      </c>
      <c r="C172" s="44" t="s">
        <v>4950</v>
      </c>
      <c r="D172" s="42" t="s">
        <v>4616</v>
      </c>
      <c r="E172" s="46">
        <v>46125</v>
      </c>
      <c r="F172" s="26" t="s">
        <v>6222</v>
      </c>
      <c r="G172" s="47" t="s">
        <v>6232</v>
      </c>
      <c r="H172" s="26" t="s">
        <v>6223</v>
      </c>
      <c r="I172" s="47" t="s">
        <v>6232</v>
      </c>
      <c r="J172" s="26" t="s">
        <v>6224</v>
      </c>
      <c r="K172" s="27"/>
      <c r="L172" s="28" t="s">
        <v>6223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4951</v>
      </c>
      <c r="C173" s="25" t="s">
        <v>4952</v>
      </c>
      <c r="D173" s="23" t="s">
        <v>4616</v>
      </c>
      <c r="E173" s="46">
        <v>46125</v>
      </c>
      <c r="F173" s="26" t="s">
        <v>6222</v>
      </c>
      <c r="G173" s="47" t="s">
        <v>6232</v>
      </c>
      <c r="H173" s="26" t="s">
        <v>6223</v>
      </c>
      <c r="I173" s="47" t="s">
        <v>6232</v>
      </c>
      <c r="J173" s="26" t="s">
        <v>6224</v>
      </c>
      <c r="K173" s="27"/>
      <c r="L173" s="28" t="s">
        <v>6223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4953</v>
      </c>
      <c r="C174" s="44" t="s">
        <v>4954</v>
      </c>
      <c r="D174" s="42" t="s">
        <v>4616</v>
      </c>
      <c r="E174" s="46">
        <v>46125</v>
      </c>
      <c r="F174" s="26" t="s">
        <v>6222</v>
      </c>
      <c r="G174" s="47" t="s">
        <v>6232</v>
      </c>
      <c r="H174" s="26" t="s">
        <v>6223</v>
      </c>
      <c r="I174" s="47" t="s">
        <v>6232</v>
      </c>
      <c r="J174" s="26" t="s">
        <v>6224</v>
      </c>
      <c r="K174" s="27"/>
      <c r="L174" s="28" t="s">
        <v>6223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4955</v>
      </c>
      <c r="C175" s="25" t="s">
        <v>4956</v>
      </c>
      <c r="D175" s="23" t="s">
        <v>4616</v>
      </c>
      <c r="E175" s="46">
        <v>46125</v>
      </c>
      <c r="F175" s="26" t="s">
        <v>6222</v>
      </c>
      <c r="G175" s="47" t="s">
        <v>6232</v>
      </c>
      <c r="H175" s="26" t="s">
        <v>6223</v>
      </c>
      <c r="I175" s="47" t="s">
        <v>6232</v>
      </c>
      <c r="J175" s="26" t="s">
        <v>6224</v>
      </c>
      <c r="K175" s="27"/>
      <c r="L175" s="28" t="s">
        <v>6223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4957</v>
      </c>
      <c r="C176" s="44" t="s">
        <v>4958</v>
      </c>
      <c r="D176" s="42" t="s">
        <v>4616</v>
      </c>
      <c r="E176" s="46">
        <v>46125</v>
      </c>
      <c r="F176" s="26" t="s">
        <v>6222</v>
      </c>
      <c r="G176" s="47" t="s">
        <v>6224</v>
      </c>
      <c r="H176" s="26" t="s">
        <v>6223</v>
      </c>
      <c r="I176" s="47" t="s">
        <v>6225</v>
      </c>
      <c r="J176" s="26" t="s">
        <v>6224</v>
      </c>
      <c r="K176" s="27"/>
      <c r="L176" s="28" t="s">
        <v>6223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4959</v>
      </c>
      <c r="C177" s="25" t="s">
        <v>4960</v>
      </c>
      <c r="D177" s="23" t="s">
        <v>4616</v>
      </c>
      <c r="E177" s="46">
        <v>46125</v>
      </c>
      <c r="F177" s="26" t="s">
        <v>6222</v>
      </c>
      <c r="G177" s="47" t="s">
        <v>6224</v>
      </c>
      <c r="H177" s="26" t="s">
        <v>6223</v>
      </c>
      <c r="I177" s="47" t="s">
        <v>6225</v>
      </c>
      <c r="J177" s="26" t="s">
        <v>6224</v>
      </c>
      <c r="K177" s="27"/>
      <c r="L177" s="28" t="s">
        <v>6223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4961</v>
      </c>
      <c r="C178" s="44" t="s">
        <v>4962</v>
      </c>
      <c r="D178" s="42" t="s">
        <v>4616</v>
      </c>
      <c r="E178" s="46">
        <v>46125</v>
      </c>
      <c r="F178" s="26" t="s">
        <v>6222</v>
      </c>
      <c r="G178" s="47" t="s">
        <v>6232</v>
      </c>
      <c r="H178" s="26" t="s">
        <v>6223</v>
      </c>
      <c r="I178" s="47" t="s">
        <v>6232</v>
      </c>
      <c r="J178" s="26" t="s">
        <v>6224</v>
      </c>
      <c r="K178" s="27"/>
      <c r="L178" s="28" t="s">
        <v>6223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4963</v>
      </c>
      <c r="C179" s="25" t="s">
        <v>4964</v>
      </c>
      <c r="D179" s="23" t="s">
        <v>4616</v>
      </c>
      <c r="E179" s="46">
        <v>46125</v>
      </c>
      <c r="F179" s="26" t="s">
        <v>6222</v>
      </c>
      <c r="G179" s="47" t="s">
        <v>6232</v>
      </c>
      <c r="H179" s="26" t="s">
        <v>6223</v>
      </c>
      <c r="I179" s="47" t="s">
        <v>6232</v>
      </c>
      <c r="J179" s="26" t="s">
        <v>6224</v>
      </c>
      <c r="K179" s="27"/>
      <c r="L179" s="28" t="s">
        <v>6223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4965</v>
      </c>
      <c r="C180" s="44" t="s">
        <v>4966</v>
      </c>
      <c r="D180" s="42" t="s">
        <v>4616</v>
      </c>
      <c r="E180" s="46">
        <v>46125</v>
      </c>
      <c r="F180" s="26" t="s">
        <v>6222</v>
      </c>
      <c r="G180" s="47" t="s">
        <v>6232</v>
      </c>
      <c r="H180" s="26" t="s">
        <v>6223</v>
      </c>
      <c r="I180" s="47" t="s">
        <v>6232</v>
      </c>
      <c r="J180" s="26" t="s">
        <v>6224</v>
      </c>
      <c r="K180" s="27"/>
      <c r="L180" s="28" t="s">
        <v>6223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4967</v>
      </c>
      <c r="C181" s="25" t="s">
        <v>4968</v>
      </c>
      <c r="D181" s="23" t="s">
        <v>4616</v>
      </c>
      <c r="E181" s="46">
        <v>46125</v>
      </c>
      <c r="F181" s="26" t="s">
        <v>6222</v>
      </c>
      <c r="G181" s="47" t="s">
        <v>6232</v>
      </c>
      <c r="H181" s="26" t="s">
        <v>6223</v>
      </c>
      <c r="I181" s="47" t="s">
        <v>6232</v>
      </c>
      <c r="J181" s="26" t="s">
        <v>6224</v>
      </c>
      <c r="K181" s="27"/>
      <c r="L181" s="28" t="s">
        <v>6223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4969</v>
      </c>
      <c r="C182" s="44" t="s">
        <v>4970</v>
      </c>
      <c r="D182" s="42" t="s">
        <v>4616</v>
      </c>
      <c r="E182" s="46">
        <v>46125</v>
      </c>
      <c r="F182" s="26" t="s">
        <v>6222</v>
      </c>
      <c r="G182" s="47" t="s">
        <v>6232</v>
      </c>
      <c r="H182" s="26" t="s">
        <v>6223</v>
      </c>
      <c r="I182" s="47" t="s">
        <v>6232</v>
      </c>
      <c r="J182" s="26" t="s">
        <v>6224</v>
      </c>
      <c r="K182" s="27"/>
      <c r="L182" s="28" t="s">
        <v>6223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4971</v>
      </c>
      <c r="C183" s="25" t="s">
        <v>4972</v>
      </c>
      <c r="D183" s="23" t="s">
        <v>4616</v>
      </c>
      <c r="E183" s="46">
        <v>46125</v>
      </c>
      <c r="F183" s="26" t="s">
        <v>6222</v>
      </c>
      <c r="G183" s="47" t="s">
        <v>6232</v>
      </c>
      <c r="H183" s="26" t="s">
        <v>6223</v>
      </c>
      <c r="I183" s="47" t="s">
        <v>6232</v>
      </c>
      <c r="J183" s="26" t="s">
        <v>6224</v>
      </c>
      <c r="K183" s="27"/>
      <c r="L183" s="28" t="s">
        <v>6223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4973</v>
      </c>
      <c r="C184" s="44" t="s">
        <v>4974</v>
      </c>
      <c r="D184" s="42" t="s">
        <v>4616</v>
      </c>
      <c r="E184" s="46">
        <v>46125</v>
      </c>
      <c r="F184" s="26" t="s">
        <v>6222</v>
      </c>
      <c r="G184" s="47" t="s">
        <v>6232</v>
      </c>
      <c r="H184" s="26" t="s">
        <v>6223</v>
      </c>
      <c r="I184" s="47" t="s">
        <v>6232</v>
      </c>
      <c r="J184" s="26" t="s">
        <v>6224</v>
      </c>
      <c r="K184" s="27"/>
      <c r="L184" s="28" t="s">
        <v>6223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4975</v>
      </c>
      <c r="C185" s="25" t="s">
        <v>4976</v>
      </c>
      <c r="D185" s="23" t="s">
        <v>4616</v>
      </c>
      <c r="E185" s="46">
        <v>46125</v>
      </c>
      <c r="F185" s="26" t="s">
        <v>6222</v>
      </c>
      <c r="G185" s="47" t="s">
        <v>6232</v>
      </c>
      <c r="H185" s="26" t="s">
        <v>6223</v>
      </c>
      <c r="I185" s="47" t="s">
        <v>6232</v>
      </c>
      <c r="J185" s="26" t="s">
        <v>6224</v>
      </c>
      <c r="K185" s="27"/>
      <c r="L185" s="28" t="s">
        <v>6223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4977</v>
      </c>
      <c r="C186" s="44" t="s">
        <v>4978</v>
      </c>
      <c r="D186" s="42" t="s">
        <v>4616</v>
      </c>
      <c r="E186" s="46">
        <v>46125</v>
      </c>
      <c r="F186" s="26" t="s">
        <v>6222</v>
      </c>
      <c r="G186" s="47" t="s">
        <v>6232</v>
      </c>
      <c r="H186" s="26" t="s">
        <v>6223</v>
      </c>
      <c r="I186" s="47" t="s">
        <v>6232</v>
      </c>
      <c r="J186" s="26" t="s">
        <v>6224</v>
      </c>
      <c r="K186" s="27"/>
      <c r="L186" s="28" t="s">
        <v>6223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4979</v>
      </c>
      <c r="C187" s="25" t="s">
        <v>4980</v>
      </c>
      <c r="D187" s="23" t="s">
        <v>4616</v>
      </c>
      <c r="E187" s="46">
        <v>46125</v>
      </c>
      <c r="F187" s="26" t="s">
        <v>6222</v>
      </c>
      <c r="G187" s="47" t="s">
        <v>6232</v>
      </c>
      <c r="H187" s="26" t="s">
        <v>6223</v>
      </c>
      <c r="I187" s="47" t="s">
        <v>6232</v>
      </c>
      <c r="J187" s="26" t="s">
        <v>6224</v>
      </c>
      <c r="K187" s="27"/>
      <c r="L187" s="28" t="s">
        <v>6223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4981</v>
      </c>
      <c r="C188" s="44" t="s">
        <v>4982</v>
      </c>
      <c r="D188" s="42" t="s">
        <v>4616</v>
      </c>
      <c r="E188" s="46">
        <v>46125</v>
      </c>
      <c r="F188" s="26" t="s">
        <v>6222</v>
      </c>
      <c r="G188" s="47" t="s">
        <v>6232</v>
      </c>
      <c r="H188" s="26" t="s">
        <v>6223</v>
      </c>
      <c r="I188" s="47" t="s">
        <v>6232</v>
      </c>
      <c r="J188" s="26" t="s">
        <v>6224</v>
      </c>
      <c r="K188" s="27"/>
      <c r="L188" s="28" t="s">
        <v>6223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4983</v>
      </c>
      <c r="C189" s="25" t="s">
        <v>4984</v>
      </c>
      <c r="D189" s="23" t="s">
        <v>4616</v>
      </c>
      <c r="E189" s="46">
        <v>46125</v>
      </c>
      <c r="F189" s="26" t="s">
        <v>6222</v>
      </c>
      <c r="G189" s="47" t="s">
        <v>6232</v>
      </c>
      <c r="H189" s="26" t="s">
        <v>6223</v>
      </c>
      <c r="I189" s="47" t="s">
        <v>6232</v>
      </c>
      <c r="J189" s="26" t="s">
        <v>6224</v>
      </c>
      <c r="K189" s="27"/>
      <c r="L189" s="28" t="s">
        <v>6223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4985</v>
      </c>
      <c r="C190" s="44" t="s">
        <v>4986</v>
      </c>
      <c r="D190" s="42" t="s">
        <v>4616</v>
      </c>
      <c r="E190" s="46">
        <v>46125</v>
      </c>
      <c r="F190" s="26" t="s">
        <v>6222</v>
      </c>
      <c r="G190" s="47" t="s">
        <v>6232</v>
      </c>
      <c r="H190" s="26" t="s">
        <v>6223</v>
      </c>
      <c r="I190" s="47" t="s">
        <v>6232</v>
      </c>
      <c r="J190" s="26" t="s">
        <v>6224</v>
      </c>
      <c r="K190" s="27"/>
      <c r="L190" s="28" t="s">
        <v>6223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4987</v>
      </c>
      <c r="C191" s="25" t="s">
        <v>4988</v>
      </c>
      <c r="D191" s="23" t="s">
        <v>4616</v>
      </c>
      <c r="E191" s="46">
        <v>46125</v>
      </c>
      <c r="F191" s="26" t="s">
        <v>6222</v>
      </c>
      <c r="G191" s="47" t="s">
        <v>6232</v>
      </c>
      <c r="H191" s="26" t="s">
        <v>6223</v>
      </c>
      <c r="I191" s="47" t="s">
        <v>6232</v>
      </c>
      <c r="J191" s="26" t="s">
        <v>6224</v>
      </c>
      <c r="K191" s="27"/>
      <c r="L191" s="28" t="s">
        <v>6223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4989</v>
      </c>
      <c r="C192" s="44" t="s">
        <v>4990</v>
      </c>
      <c r="D192" s="42" t="s">
        <v>4616</v>
      </c>
      <c r="E192" s="46">
        <v>46125</v>
      </c>
      <c r="F192" s="26" t="s">
        <v>6222</v>
      </c>
      <c r="G192" s="47" t="s">
        <v>6224</v>
      </c>
      <c r="H192" s="26" t="s">
        <v>6223</v>
      </c>
      <c r="I192" s="47" t="s">
        <v>6225</v>
      </c>
      <c r="J192" s="26" t="s">
        <v>6224</v>
      </c>
      <c r="K192" s="27"/>
      <c r="L192" s="28" t="s">
        <v>6223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4991</v>
      </c>
      <c r="C193" s="25" t="s">
        <v>4992</v>
      </c>
      <c r="D193" s="23" t="s">
        <v>4616</v>
      </c>
      <c r="E193" s="46">
        <v>46125</v>
      </c>
      <c r="F193" s="26" t="s">
        <v>6222</v>
      </c>
      <c r="G193" s="47" t="s">
        <v>6232</v>
      </c>
      <c r="H193" s="26" t="s">
        <v>6223</v>
      </c>
      <c r="I193" s="47" t="s">
        <v>6232</v>
      </c>
      <c r="J193" s="26" t="s">
        <v>6224</v>
      </c>
      <c r="K193" s="27"/>
      <c r="L193" s="28" t="s">
        <v>6223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4993</v>
      </c>
      <c r="C194" s="44" t="s">
        <v>4994</v>
      </c>
      <c r="D194" s="42" t="s">
        <v>4616</v>
      </c>
      <c r="E194" s="46">
        <v>46125</v>
      </c>
      <c r="F194" s="26" t="s">
        <v>6222</v>
      </c>
      <c r="G194" s="47" t="s">
        <v>6232</v>
      </c>
      <c r="H194" s="26" t="s">
        <v>6223</v>
      </c>
      <c r="I194" s="47" t="s">
        <v>6232</v>
      </c>
      <c r="J194" s="26" t="s">
        <v>6224</v>
      </c>
      <c r="K194" s="27"/>
      <c r="L194" s="28" t="s">
        <v>6223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4995</v>
      </c>
      <c r="C195" s="25" t="s">
        <v>4996</v>
      </c>
      <c r="D195" s="23" t="s">
        <v>4616</v>
      </c>
      <c r="E195" s="46">
        <v>46125</v>
      </c>
      <c r="F195" s="26" t="s">
        <v>6222</v>
      </c>
      <c r="G195" s="47" t="s">
        <v>6232</v>
      </c>
      <c r="H195" s="26" t="s">
        <v>6223</v>
      </c>
      <c r="I195" s="47" t="s">
        <v>6232</v>
      </c>
      <c r="J195" s="26" t="s">
        <v>6224</v>
      </c>
      <c r="K195" s="27"/>
      <c r="L195" s="28" t="s">
        <v>6223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4997</v>
      </c>
      <c r="C196" s="44" t="s">
        <v>4998</v>
      </c>
      <c r="D196" s="42" t="s">
        <v>4616</v>
      </c>
      <c r="E196" s="46">
        <v>46125</v>
      </c>
      <c r="F196" s="26" t="s">
        <v>6222</v>
      </c>
      <c r="G196" s="47" t="s">
        <v>6232</v>
      </c>
      <c r="H196" s="26" t="s">
        <v>6223</v>
      </c>
      <c r="I196" s="47" t="s">
        <v>6232</v>
      </c>
      <c r="J196" s="26" t="s">
        <v>6224</v>
      </c>
      <c r="K196" s="27"/>
      <c r="L196" s="28" t="s">
        <v>6223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4999</v>
      </c>
      <c r="C197" s="25" t="s">
        <v>5000</v>
      </c>
      <c r="D197" s="23" t="s">
        <v>4616</v>
      </c>
      <c r="E197" s="46">
        <v>46125</v>
      </c>
      <c r="F197" s="26" t="s">
        <v>6222</v>
      </c>
      <c r="G197" s="47" t="s">
        <v>6224</v>
      </c>
      <c r="H197" s="26" t="s">
        <v>6223</v>
      </c>
      <c r="I197" s="47" t="s">
        <v>6225</v>
      </c>
      <c r="J197" s="26" t="s">
        <v>6224</v>
      </c>
      <c r="K197" s="27"/>
      <c r="L197" s="28" t="s">
        <v>6223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5001</v>
      </c>
      <c r="C198" s="44" t="s">
        <v>5002</v>
      </c>
      <c r="D198" s="42" t="s">
        <v>4616</v>
      </c>
      <c r="E198" s="46">
        <v>46125</v>
      </c>
      <c r="F198" s="26" t="s">
        <v>6222</v>
      </c>
      <c r="G198" s="47" t="s">
        <v>6232</v>
      </c>
      <c r="H198" s="26" t="s">
        <v>6223</v>
      </c>
      <c r="I198" s="47" t="s">
        <v>6232</v>
      </c>
      <c r="J198" s="26" t="s">
        <v>6224</v>
      </c>
      <c r="K198" s="27"/>
      <c r="L198" s="28" t="s">
        <v>6223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5003</v>
      </c>
      <c r="C199" s="25" t="s">
        <v>5004</v>
      </c>
      <c r="D199" s="23" t="s">
        <v>4616</v>
      </c>
      <c r="E199" s="46">
        <v>46125</v>
      </c>
      <c r="F199" s="26" t="s">
        <v>6222</v>
      </c>
      <c r="G199" s="47" t="s">
        <v>6232</v>
      </c>
      <c r="H199" s="26" t="s">
        <v>6223</v>
      </c>
      <c r="I199" s="47" t="s">
        <v>6232</v>
      </c>
      <c r="J199" s="26" t="s">
        <v>6224</v>
      </c>
      <c r="K199" s="27"/>
      <c r="L199" s="28" t="s">
        <v>6223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5005</v>
      </c>
      <c r="C200" s="44" t="s">
        <v>5006</v>
      </c>
      <c r="D200" s="42" t="s">
        <v>4616</v>
      </c>
      <c r="E200" s="46">
        <v>46125</v>
      </c>
      <c r="F200" s="26" t="s">
        <v>6222</v>
      </c>
      <c r="G200" s="47" t="s">
        <v>6232</v>
      </c>
      <c r="H200" s="26" t="s">
        <v>6223</v>
      </c>
      <c r="I200" s="47" t="s">
        <v>6232</v>
      </c>
      <c r="J200" s="26" t="s">
        <v>6224</v>
      </c>
      <c r="K200" s="27"/>
      <c r="L200" s="28" t="s">
        <v>6223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5007</v>
      </c>
      <c r="C201" s="25" t="s">
        <v>5008</v>
      </c>
      <c r="D201" s="23" t="s">
        <v>4616</v>
      </c>
      <c r="E201" s="46">
        <v>46125</v>
      </c>
      <c r="F201" s="26" t="s">
        <v>6222</v>
      </c>
      <c r="G201" s="47" t="s">
        <v>6224</v>
      </c>
      <c r="H201" s="26" t="s">
        <v>6223</v>
      </c>
      <c r="I201" s="47" t="s">
        <v>6225</v>
      </c>
      <c r="J201" s="26" t="s">
        <v>6224</v>
      </c>
      <c r="K201" s="27"/>
      <c r="L201" s="28" t="s">
        <v>6223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5009</v>
      </c>
      <c r="C202" s="44" t="s">
        <v>5010</v>
      </c>
      <c r="D202" s="42" t="s">
        <v>4616</v>
      </c>
      <c r="E202" s="46">
        <v>46125</v>
      </c>
      <c r="F202" s="26" t="s">
        <v>6222</v>
      </c>
      <c r="G202" s="47" t="s">
        <v>6232</v>
      </c>
      <c r="H202" s="26" t="s">
        <v>6223</v>
      </c>
      <c r="I202" s="47" t="s">
        <v>6232</v>
      </c>
      <c r="J202" s="26" t="s">
        <v>6224</v>
      </c>
      <c r="K202" s="27"/>
      <c r="L202" s="28" t="s">
        <v>6223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5011</v>
      </c>
      <c r="C203" s="25" t="s">
        <v>5012</v>
      </c>
      <c r="D203" s="23" t="s">
        <v>4616</v>
      </c>
      <c r="E203" s="46">
        <v>46125</v>
      </c>
      <c r="F203" s="26" t="s">
        <v>6222</v>
      </c>
      <c r="G203" s="47" t="s">
        <v>6232</v>
      </c>
      <c r="H203" s="26" t="s">
        <v>6223</v>
      </c>
      <c r="I203" s="47" t="s">
        <v>6232</v>
      </c>
      <c r="J203" s="26" t="s">
        <v>6224</v>
      </c>
      <c r="K203" s="27"/>
      <c r="L203" s="28" t="s">
        <v>6223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5013</v>
      </c>
      <c r="C204" s="44" t="s">
        <v>5014</v>
      </c>
      <c r="D204" s="42" t="s">
        <v>4616</v>
      </c>
      <c r="E204" s="46">
        <v>46125</v>
      </c>
      <c r="F204" s="26" t="s">
        <v>6222</v>
      </c>
      <c r="G204" s="47" t="s">
        <v>6224</v>
      </c>
      <c r="H204" s="26" t="s">
        <v>6223</v>
      </c>
      <c r="I204" s="47" t="s">
        <v>6225</v>
      </c>
      <c r="J204" s="26" t="s">
        <v>6224</v>
      </c>
      <c r="K204" s="27"/>
      <c r="L204" s="28" t="s">
        <v>6223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5015</v>
      </c>
      <c r="C205" s="25" t="s">
        <v>5016</v>
      </c>
      <c r="D205" s="23" t="s">
        <v>4616</v>
      </c>
      <c r="E205" s="46">
        <v>46125</v>
      </c>
      <c r="F205" s="26" t="s">
        <v>6222</v>
      </c>
      <c r="G205" s="47" t="s">
        <v>6232</v>
      </c>
      <c r="H205" s="26" t="s">
        <v>6223</v>
      </c>
      <c r="I205" s="47" t="s">
        <v>6232</v>
      </c>
      <c r="J205" s="26" t="s">
        <v>6224</v>
      </c>
      <c r="K205" s="27"/>
      <c r="L205" s="28" t="s">
        <v>6223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5017</v>
      </c>
      <c r="C206" s="44" t="s">
        <v>5018</v>
      </c>
      <c r="D206" s="42" t="s">
        <v>4616</v>
      </c>
      <c r="E206" s="46">
        <v>46125</v>
      </c>
      <c r="F206" s="26" t="s">
        <v>6222</v>
      </c>
      <c r="G206" s="47" t="s">
        <v>6232</v>
      </c>
      <c r="H206" s="26" t="s">
        <v>6223</v>
      </c>
      <c r="I206" s="47" t="s">
        <v>6232</v>
      </c>
      <c r="J206" s="26" t="s">
        <v>6224</v>
      </c>
      <c r="K206" s="27"/>
      <c r="L206" s="28" t="s">
        <v>6223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5019</v>
      </c>
      <c r="C207" s="25" t="s">
        <v>5020</v>
      </c>
      <c r="D207" s="23" t="s">
        <v>4616</v>
      </c>
      <c r="E207" s="46">
        <v>46125</v>
      </c>
      <c r="F207" s="26" t="s">
        <v>6222</v>
      </c>
      <c r="G207" s="47" t="s">
        <v>6232</v>
      </c>
      <c r="H207" s="26" t="s">
        <v>6223</v>
      </c>
      <c r="I207" s="47" t="s">
        <v>6232</v>
      </c>
      <c r="J207" s="26" t="s">
        <v>6224</v>
      </c>
      <c r="K207" s="27"/>
      <c r="L207" s="28" t="s">
        <v>6223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5021</v>
      </c>
      <c r="C208" s="44" t="s">
        <v>5022</v>
      </c>
      <c r="D208" s="42" t="s">
        <v>4616</v>
      </c>
      <c r="E208" s="46">
        <v>46125</v>
      </c>
      <c r="F208" s="26" t="s">
        <v>6222</v>
      </c>
      <c r="G208" s="47" t="s">
        <v>6232</v>
      </c>
      <c r="H208" s="26" t="s">
        <v>6223</v>
      </c>
      <c r="I208" s="47" t="s">
        <v>6232</v>
      </c>
      <c r="J208" s="26" t="s">
        <v>6224</v>
      </c>
      <c r="K208" s="27"/>
      <c r="L208" s="28" t="s">
        <v>6223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5023</v>
      </c>
      <c r="C209" s="25" t="s">
        <v>5024</v>
      </c>
      <c r="D209" s="23" t="s">
        <v>4616</v>
      </c>
      <c r="E209" s="46">
        <v>46125</v>
      </c>
      <c r="F209" s="26" t="s">
        <v>6222</v>
      </c>
      <c r="G209" s="47" t="s">
        <v>6232</v>
      </c>
      <c r="H209" s="26" t="s">
        <v>6223</v>
      </c>
      <c r="I209" s="47" t="s">
        <v>6232</v>
      </c>
      <c r="J209" s="26" t="s">
        <v>6224</v>
      </c>
      <c r="K209" s="27"/>
      <c r="L209" s="28" t="s">
        <v>6223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5025</v>
      </c>
      <c r="C210" s="44" t="s">
        <v>5026</v>
      </c>
      <c r="D210" s="42" t="s">
        <v>4616</v>
      </c>
      <c r="E210" s="46">
        <v>46125</v>
      </c>
      <c r="F210" s="26" t="s">
        <v>6222</v>
      </c>
      <c r="G210" s="47" t="s">
        <v>6232</v>
      </c>
      <c r="H210" s="26" t="s">
        <v>6223</v>
      </c>
      <c r="I210" s="47" t="s">
        <v>6232</v>
      </c>
      <c r="J210" s="26" t="s">
        <v>6224</v>
      </c>
      <c r="K210" s="27"/>
      <c r="L210" s="28" t="s">
        <v>6223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5027</v>
      </c>
      <c r="C211" s="25" t="s">
        <v>5028</v>
      </c>
      <c r="D211" s="23" t="s">
        <v>4616</v>
      </c>
      <c r="E211" s="46">
        <v>46125</v>
      </c>
      <c r="F211" s="26" t="s">
        <v>6222</v>
      </c>
      <c r="G211" s="47" t="s">
        <v>6224</v>
      </c>
      <c r="H211" s="26" t="s">
        <v>6223</v>
      </c>
      <c r="I211" s="47" t="s">
        <v>6225</v>
      </c>
      <c r="J211" s="26" t="s">
        <v>6224</v>
      </c>
      <c r="K211" s="27"/>
      <c r="L211" s="28" t="s">
        <v>6223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5029</v>
      </c>
      <c r="C212" s="44" t="s">
        <v>5030</v>
      </c>
      <c r="D212" s="42" t="s">
        <v>4616</v>
      </c>
      <c r="E212" s="46">
        <v>46125</v>
      </c>
      <c r="F212" s="26" t="s">
        <v>6222</v>
      </c>
      <c r="G212" s="47" t="s">
        <v>6224</v>
      </c>
      <c r="H212" s="26" t="s">
        <v>6223</v>
      </c>
      <c r="I212" s="47" t="s">
        <v>6226</v>
      </c>
      <c r="J212" s="26" t="s">
        <v>6223</v>
      </c>
      <c r="K212" s="27" t="s">
        <v>6233</v>
      </c>
      <c r="L212" s="28" t="s">
        <v>6224</v>
      </c>
      <c r="M212" s="29" t="str">
        <f t="shared" si="15"/>
        <v>⚠ Check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5031</v>
      </c>
      <c r="C213" s="25" t="s">
        <v>5032</v>
      </c>
      <c r="D213" s="23" t="s">
        <v>4616</v>
      </c>
      <c r="E213" s="46">
        <v>46125</v>
      </c>
      <c r="F213" s="26" t="s">
        <v>6222</v>
      </c>
      <c r="G213" s="47" t="s">
        <v>6232</v>
      </c>
      <c r="H213" s="26" t="s">
        <v>6223</v>
      </c>
      <c r="I213" s="47" t="s">
        <v>6232</v>
      </c>
      <c r="J213" s="26" t="s">
        <v>6224</v>
      </c>
      <c r="K213" s="27"/>
      <c r="L213" s="28" t="s">
        <v>6223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5033</v>
      </c>
      <c r="C214" s="44" t="s">
        <v>5034</v>
      </c>
      <c r="D214" s="42" t="s">
        <v>4616</v>
      </c>
      <c r="E214" s="46">
        <v>46125</v>
      </c>
      <c r="F214" s="26" t="s">
        <v>6222</v>
      </c>
      <c r="G214" s="47" t="s">
        <v>6232</v>
      </c>
      <c r="H214" s="26" t="s">
        <v>6223</v>
      </c>
      <c r="I214" s="47" t="s">
        <v>6232</v>
      </c>
      <c r="J214" s="26" t="s">
        <v>6224</v>
      </c>
      <c r="K214" s="27"/>
      <c r="L214" s="28" t="s">
        <v>6223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5035</v>
      </c>
      <c r="C215" s="25" t="s">
        <v>5036</v>
      </c>
      <c r="D215" s="23" t="s">
        <v>4616</v>
      </c>
      <c r="E215" s="46">
        <v>46125</v>
      </c>
      <c r="F215" s="26" t="s">
        <v>6222</v>
      </c>
      <c r="G215" s="47" t="s">
        <v>6232</v>
      </c>
      <c r="H215" s="26" t="s">
        <v>6223</v>
      </c>
      <c r="I215" s="47" t="s">
        <v>6232</v>
      </c>
      <c r="J215" s="26" t="s">
        <v>6224</v>
      </c>
      <c r="K215" s="27"/>
      <c r="L215" s="28" t="s">
        <v>6223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5037</v>
      </c>
      <c r="C216" s="44" t="s">
        <v>5038</v>
      </c>
      <c r="D216" s="42" t="s">
        <v>4616</v>
      </c>
      <c r="E216" s="46">
        <v>46125</v>
      </c>
      <c r="F216" s="26" t="s">
        <v>6222</v>
      </c>
      <c r="G216" s="47" t="s">
        <v>6224</v>
      </c>
      <c r="H216" s="26" t="s">
        <v>6223</v>
      </c>
      <c r="I216" s="47" t="s">
        <v>6225</v>
      </c>
      <c r="J216" s="26" t="s">
        <v>6224</v>
      </c>
      <c r="K216" s="27"/>
      <c r="L216" s="28" t="s">
        <v>6223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5039</v>
      </c>
      <c r="C217" s="25" t="s">
        <v>5040</v>
      </c>
      <c r="D217" s="23" t="s">
        <v>4616</v>
      </c>
      <c r="E217" s="46">
        <v>46125</v>
      </c>
      <c r="F217" s="26" t="s">
        <v>6222</v>
      </c>
      <c r="G217" s="47" t="s">
        <v>6232</v>
      </c>
      <c r="H217" s="26" t="s">
        <v>6223</v>
      </c>
      <c r="I217" s="47" t="s">
        <v>6232</v>
      </c>
      <c r="J217" s="26" t="s">
        <v>6224</v>
      </c>
      <c r="K217" s="27"/>
      <c r="L217" s="28" t="s">
        <v>6223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5041</v>
      </c>
      <c r="C218" s="44" t="s">
        <v>5042</v>
      </c>
      <c r="D218" s="42" t="s">
        <v>4616</v>
      </c>
      <c r="E218" s="46">
        <v>46125</v>
      </c>
      <c r="F218" s="26" t="s">
        <v>6222</v>
      </c>
      <c r="G218" s="47" t="s">
        <v>6232</v>
      </c>
      <c r="H218" s="26" t="s">
        <v>6223</v>
      </c>
      <c r="I218" s="47" t="s">
        <v>6232</v>
      </c>
      <c r="J218" s="26" t="s">
        <v>6224</v>
      </c>
      <c r="K218" s="27"/>
      <c r="L218" s="28" t="s">
        <v>6223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5043</v>
      </c>
      <c r="C219" s="25" t="s">
        <v>5044</v>
      </c>
      <c r="D219" s="23" t="s">
        <v>4616</v>
      </c>
      <c r="E219" s="46">
        <v>46125</v>
      </c>
      <c r="F219" s="26" t="s">
        <v>6222</v>
      </c>
      <c r="G219" s="47" t="s">
        <v>6232</v>
      </c>
      <c r="H219" s="26" t="s">
        <v>6223</v>
      </c>
      <c r="I219" s="47" t="s">
        <v>6232</v>
      </c>
      <c r="J219" s="26" t="s">
        <v>6224</v>
      </c>
      <c r="K219" s="27"/>
      <c r="L219" s="28" t="s">
        <v>6223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5045</v>
      </c>
      <c r="C220" s="44" t="s">
        <v>5046</v>
      </c>
      <c r="D220" s="42" t="s">
        <v>4616</v>
      </c>
      <c r="E220" s="46">
        <v>46125</v>
      </c>
      <c r="F220" s="26" t="s">
        <v>6222</v>
      </c>
      <c r="G220" s="47" t="s">
        <v>6232</v>
      </c>
      <c r="H220" s="26" t="s">
        <v>6223</v>
      </c>
      <c r="I220" s="47" t="s">
        <v>6232</v>
      </c>
      <c r="J220" s="26" t="s">
        <v>6224</v>
      </c>
      <c r="K220" s="27"/>
      <c r="L220" s="28" t="s">
        <v>6223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5047</v>
      </c>
      <c r="C221" s="25" t="s">
        <v>5048</v>
      </c>
      <c r="D221" s="23" t="s">
        <v>4616</v>
      </c>
      <c r="E221" s="46">
        <v>46125</v>
      </c>
      <c r="F221" s="26" t="s">
        <v>6222</v>
      </c>
      <c r="G221" s="47" t="s">
        <v>6232</v>
      </c>
      <c r="H221" s="26" t="s">
        <v>6223</v>
      </c>
      <c r="I221" s="47" t="s">
        <v>6232</v>
      </c>
      <c r="J221" s="26" t="s">
        <v>6224</v>
      </c>
      <c r="K221" s="27"/>
      <c r="L221" s="28" t="s">
        <v>6223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5049</v>
      </c>
      <c r="C222" s="44" t="s">
        <v>5050</v>
      </c>
      <c r="D222" s="42" t="s">
        <v>4616</v>
      </c>
      <c r="E222" s="46">
        <v>46125</v>
      </c>
      <c r="F222" s="26" t="s">
        <v>6222</v>
      </c>
      <c r="G222" s="47" t="s">
        <v>6232</v>
      </c>
      <c r="H222" s="26" t="s">
        <v>6223</v>
      </c>
      <c r="I222" s="47" t="s">
        <v>6232</v>
      </c>
      <c r="J222" s="26" t="s">
        <v>6224</v>
      </c>
      <c r="K222" s="27"/>
      <c r="L222" s="28" t="s">
        <v>6223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5051</v>
      </c>
      <c r="C223" s="25" t="s">
        <v>5052</v>
      </c>
      <c r="D223" s="23" t="s">
        <v>4616</v>
      </c>
      <c r="E223" s="46">
        <v>46125</v>
      </c>
      <c r="F223" s="26" t="s">
        <v>6222</v>
      </c>
      <c r="G223" s="47" t="s">
        <v>6232</v>
      </c>
      <c r="H223" s="26" t="s">
        <v>6223</v>
      </c>
      <c r="I223" s="47" t="s">
        <v>6232</v>
      </c>
      <c r="J223" s="26" t="s">
        <v>6224</v>
      </c>
      <c r="K223" s="27"/>
      <c r="L223" s="28" t="s">
        <v>6223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5053</v>
      </c>
      <c r="C224" s="44" t="s">
        <v>5054</v>
      </c>
      <c r="D224" s="42" t="s">
        <v>4616</v>
      </c>
      <c r="E224" s="46">
        <v>46125</v>
      </c>
      <c r="F224" s="26" t="s">
        <v>6222</v>
      </c>
      <c r="G224" s="47" t="s">
        <v>6224</v>
      </c>
      <c r="H224" s="26" t="s">
        <v>6223</v>
      </c>
      <c r="I224" s="47" t="s">
        <v>6225</v>
      </c>
      <c r="J224" s="26" t="s">
        <v>6224</v>
      </c>
      <c r="K224" s="27"/>
      <c r="L224" s="28" t="s">
        <v>6223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5055</v>
      </c>
      <c r="C225" s="25" t="s">
        <v>5056</v>
      </c>
      <c r="D225" s="23" t="s">
        <v>4616</v>
      </c>
      <c r="E225" s="46">
        <v>46125</v>
      </c>
      <c r="F225" s="26" t="s">
        <v>6222</v>
      </c>
      <c r="G225" s="47" t="s">
        <v>6232</v>
      </c>
      <c r="H225" s="26" t="s">
        <v>6223</v>
      </c>
      <c r="I225" s="47" t="s">
        <v>6232</v>
      </c>
      <c r="J225" s="26" t="s">
        <v>6224</v>
      </c>
      <c r="K225" s="27"/>
      <c r="L225" s="28" t="s">
        <v>6223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5057</v>
      </c>
      <c r="C226" s="44" t="s">
        <v>5058</v>
      </c>
      <c r="D226" s="42" t="s">
        <v>4616</v>
      </c>
      <c r="E226" s="46">
        <v>46125</v>
      </c>
      <c r="F226" s="26" t="s">
        <v>6222</v>
      </c>
      <c r="G226" s="47" t="s">
        <v>6232</v>
      </c>
      <c r="H226" s="26" t="s">
        <v>6223</v>
      </c>
      <c r="I226" s="47" t="s">
        <v>6232</v>
      </c>
      <c r="J226" s="26" t="s">
        <v>6224</v>
      </c>
      <c r="K226" s="27"/>
      <c r="L226" s="28" t="s">
        <v>6223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5059</v>
      </c>
      <c r="C227" s="25" t="s">
        <v>5060</v>
      </c>
      <c r="D227" s="23" t="s">
        <v>4616</v>
      </c>
      <c r="E227" s="46">
        <v>46125</v>
      </c>
      <c r="F227" s="26" t="s">
        <v>6222</v>
      </c>
      <c r="G227" s="47" t="s">
        <v>6232</v>
      </c>
      <c r="H227" s="26" t="s">
        <v>6223</v>
      </c>
      <c r="I227" s="47" t="s">
        <v>6232</v>
      </c>
      <c r="J227" s="26" t="s">
        <v>6224</v>
      </c>
      <c r="K227" s="27"/>
      <c r="L227" s="28" t="s">
        <v>6223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5061</v>
      </c>
      <c r="C228" s="44" t="s">
        <v>5062</v>
      </c>
      <c r="D228" s="42" t="s">
        <v>4616</v>
      </c>
      <c r="E228" s="46">
        <v>46125</v>
      </c>
      <c r="F228" s="26" t="s">
        <v>6222</v>
      </c>
      <c r="G228" s="47" t="s">
        <v>6224</v>
      </c>
      <c r="H228" s="26" t="s">
        <v>6223</v>
      </c>
      <c r="I228" s="47" t="s">
        <v>6225</v>
      </c>
      <c r="J228" s="26" t="s">
        <v>6224</v>
      </c>
      <c r="K228" s="27"/>
      <c r="L228" s="28" t="s">
        <v>6223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5063</v>
      </c>
      <c r="C229" s="25" t="s">
        <v>5064</v>
      </c>
      <c r="D229" s="23" t="s">
        <v>4616</v>
      </c>
      <c r="E229" s="46">
        <v>46125</v>
      </c>
      <c r="F229" s="26" t="s">
        <v>6222</v>
      </c>
      <c r="G229" s="47" t="s">
        <v>6232</v>
      </c>
      <c r="H229" s="26" t="s">
        <v>6223</v>
      </c>
      <c r="I229" s="47" t="s">
        <v>6232</v>
      </c>
      <c r="J229" s="26" t="s">
        <v>6224</v>
      </c>
      <c r="K229" s="27"/>
      <c r="L229" s="28" t="s">
        <v>6223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5065</v>
      </c>
      <c r="C230" s="44" t="s">
        <v>5066</v>
      </c>
      <c r="D230" s="42" t="s">
        <v>4616</v>
      </c>
      <c r="E230" s="46">
        <v>46125</v>
      </c>
      <c r="F230" s="26" t="s">
        <v>6222</v>
      </c>
      <c r="G230" s="47" t="s">
        <v>6232</v>
      </c>
      <c r="H230" s="26" t="s">
        <v>6223</v>
      </c>
      <c r="I230" s="47" t="s">
        <v>6232</v>
      </c>
      <c r="J230" s="26" t="s">
        <v>6224</v>
      </c>
      <c r="K230" s="27"/>
      <c r="L230" s="28" t="s">
        <v>6223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5067</v>
      </c>
      <c r="C231" s="25" t="s">
        <v>5068</v>
      </c>
      <c r="D231" s="23" t="s">
        <v>4616</v>
      </c>
      <c r="E231" s="46">
        <v>46125</v>
      </c>
      <c r="F231" s="26" t="s">
        <v>6222</v>
      </c>
      <c r="G231" s="47" t="s">
        <v>6232</v>
      </c>
      <c r="H231" s="26" t="s">
        <v>6223</v>
      </c>
      <c r="I231" s="47" t="s">
        <v>6232</v>
      </c>
      <c r="J231" s="26" t="s">
        <v>6224</v>
      </c>
      <c r="K231" s="27"/>
      <c r="L231" s="28" t="s">
        <v>6223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5069</v>
      </c>
      <c r="C232" s="44" t="s">
        <v>5070</v>
      </c>
      <c r="D232" s="42" t="s">
        <v>4616</v>
      </c>
      <c r="E232" s="46">
        <v>46125</v>
      </c>
      <c r="F232" s="26" t="s">
        <v>6222</v>
      </c>
      <c r="G232" s="47" t="s">
        <v>6224</v>
      </c>
      <c r="H232" s="26" t="s">
        <v>6223</v>
      </c>
      <c r="I232" s="47" t="s">
        <v>6225</v>
      </c>
      <c r="J232" s="26" t="s">
        <v>6224</v>
      </c>
      <c r="K232" s="27"/>
      <c r="L232" s="28" t="s">
        <v>6223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5071</v>
      </c>
      <c r="C233" s="25" t="s">
        <v>5072</v>
      </c>
      <c r="D233" s="23" t="s">
        <v>4616</v>
      </c>
      <c r="E233" s="46">
        <v>46125</v>
      </c>
      <c r="F233" s="26" t="s">
        <v>6222</v>
      </c>
      <c r="G233" s="47" t="s">
        <v>6232</v>
      </c>
      <c r="H233" s="26" t="s">
        <v>6223</v>
      </c>
      <c r="I233" s="47" t="s">
        <v>6232</v>
      </c>
      <c r="J233" s="26" t="s">
        <v>6224</v>
      </c>
      <c r="K233" s="27"/>
      <c r="L233" s="28" t="s">
        <v>6223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5073</v>
      </c>
      <c r="C234" s="44" t="s">
        <v>5074</v>
      </c>
      <c r="D234" s="42" t="s">
        <v>4616</v>
      </c>
      <c r="E234" s="46">
        <v>46125</v>
      </c>
      <c r="F234" s="26" t="s">
        <v>6222</v>
      </c>
      <c r="G234" s="47" t="s">
        <v>6232</v>
      </c>
      <c r="H234" s="26" t="s">
        <v>6223</v>
      </c>
      <c r="I234" s="47" t="s">
        <v>6232</v>
      </c>
      <c r="J234" s="26" t="s">
        <v>6224</v>
      </c>
      <c r="K234" s="27"/>
      <c r="L234" s="28" t="s">
        <v>6223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5075</v>
      </c>
      <c r="C235" s="25" t="s">
        <v>5076</v>
      </c>
      <c r="D235" s="23" t="s">
        <v>4616</v>
      </c>
      <c r="E235" s="46">
        <v>46125</v>
      </c>
      <c r="F235" s="26" t="s">
        <v>6222</v>
      </c>
      <c r="G235" s="47" t="s">
        <v>6232</v>
      </c>
      <c r="H235" s="26" t="s">
        <v>6223</v>
      </c>
      <c r="I235" s="47" t="s">
        <v>6232</v>
      </c>
      <c r="J235" s="26" t="s">
        <v>6224</v>
      </c>
      <c r="K235" s="27"/>
      <c r="L235" s="28" t="s">
        <v>6223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5077</v>
      </c>
      <c r="C236" s="44" t="s">
        <v>5078</v>
      </c>
      <c r="D236" s="42" t="s">
        <v>4616</v>
      </c>
      <c r="E236" s="46">
        <v>46125</v>
      </c>
      <c r="F236" s="26" t="s">
        <v>6222</v>
      </c>
      <c r="G236" s="47" t="s">
        <v>6232</v>
      </c>
      <c r="H236" s="26" t="s">
        <v>6223</v>
      </c>
      <c r="I236" s="47" t="s">
        <v>6232</v>
      </c>
      <c r="J236" s="26" t="s">
        <v>6224</v>
      </c>
      <c r="K236" s="27"/>
      <c r="L236" s="28" t="s">
        <v>6223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5079</v>
      </c>
      <c r="C237" s="25" t="s">
        <v>5080</v>
      </c>
      <c r="D237" s="23" t="s">
        <v>4616</v>
      </c>
      <c r="E237" s="46">
        <v>46125</v>
      </c>
      <c r="F237" s="26" t="s">
        <v>6222</v>
      </c>
      <c r="G237" s="47" t="s">
        <v>6232</v>
      </c>
      <c r="H237" s="26" t="s">
        <v>6223</v>
      </c>
      <c r="I237" s="47" t="s">
        <v>6232</v>
      </c>
      <c r="J237" s="26" t="s">
        <v>6224</v>
      </c>
      <c r="K237" s="27"/>
      <c r="L237" s="28" t="s">
        <v>6223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5081</v>
      </c>
      <c r="C238" s="44" t="s">
        <v>5082</v>
      </c>
      <c r="D238" s="42" t="s">
        <v>4616</v>
      </c>
      <c r="E238" s="46">
        <v>46125</v>
      </c>
      <c r="F238" s="26" t="s">
        <v>6222</v>
      </c>
      <c r="G238" s="47" t="s">
        <v>6232</v>
      </c>
      <c r="H238" s="26" t="s">
        <v>6223</v>
      </c>
      <c r="I238" s="47" t="s">
        <v>6232</v>
      </c>
      <c r="J238" s="26" t="s">
        <v>6224</v>
      </c>
      <c r="K238" s="27"/>
      <c r="L238" s="28" t="s">
        <v>6223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5083</v>
      </c>
      <c r="C239" s="25" t="s">
        <v>5084</v>
      </c>
      <c r="D239" s="23" t="s">
        <v>4616</v>
      </c>
      <c r="E239" s="46">
        <v>46125</v>
      </c>
      <c r="F239" s="26" t="s">
        <v>6222</v>
      </c>
      <c r="G239" s="47" t="s">
        <v>6232</v>
      </c>
      <c r="H239" s="26" t="s">
        <v>6223</v>
      </c>
      <c r="I239" s="47" t="s">
        <v>6232</v>
      </c>
      <c r="J239" s="26" t="s">
        <v>6224</v>
      </c>
      <c r="K239" s="27"/>
      <c r="L239" s="28" t="s">
        <v>6223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5085</v>
      </c>
      <c r="C240" s="44" t="s">
        <v>5086</v>
      </c>
      <c r="D240" s="42" t="s">
        <v>4616</v>
      </c>
      <c r="E240" s="46">
        <v>46125</v>
      </c>
      <c r="F240" s="26" t="s">
        <v>6222</v>
      </c>
      <c r="G240" s="47" t="s">
        <v>6232</v>
      </c>
      <c r="H240" s="26" t="s">
        <v>6223</v>
      </c>
      <c r="I240" s="47" t="s">
        <v>6232</v>
      </c>
      <c r="J240" s="26" t="s">
        <v>6224</v>
      </c>
      <c r="K240" s="27"/>
      <c r="L240" s="28" t="s">
        <v>6223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5087</v>
      </c>
      <c r="C241" s="25" t="s">
        <v>5088</v>
      </c>
      <c r="D241" s="23" t="s">
        <v>4616</v>
      </c>
      <c r="E241" s="46">
        <v>46125</v>
      </c>
      <c r="F241" s="26" t="s">
        <v>6222</v>
      </c>
      <c r="G241" s="47" t="s">
        <v>6232</v>
      </c>
      <c r="H241" s="26" t="s">
        <v>6223</v>
      </c>
      <c r="I241" s="47" t="s">
        <v>6232</v>
      </c>
      <c r="J241" s="26" t="s">
        <v>6224</v>
      </c>
      <c r="K241" s="27"/>
      <c r="L241" s="28" t="s">
        <v>6223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5089</v>
      </c>
      <c r="C242" s="44" t="s">
        <v>5090</v>
      </c>
      <c r="D242" s="42" t="s">
        <v>4616</v>
      </c>
      <c r="E242" s="46">
        <v>46125</v>
      </c>
      <c r="F242" s="26" t="s">
        <v>6222</v>
      </c>
      <c r="G242" s="47" t="s">
        <v>6232</v>
      </c>
      <c r="H242" s="26" t="s">
        <v>6223</v>
      </c>
      <c r="I242" s="47" t="s">
        <v>6232</v>
      </c>
      <c r="J242" s="26" t="s">
        <v>6224</v>
      </c>
      <c r="K242" s="27"/>
      <c r="L242" s="28" t="s">
        <v>6223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5091</v>
      </c>
      <c r="C243" s="25" t="s">
        <v>5092</v>
      </c>
      <c r="D243" s="23" t="s">
        <v>4616</v>
      </c>
      <c r="E243" s="46">
        <v>46125</v>
      </c>
      <c r="F243" s="26" t="s">
        <v>6222</v>
      </c>
      <c r="G243" s="47" t="s">
        <v>6232</v>
      </c>
      <c r="H243" s="26" t="s">
        <v>6223</v>
      </c>
      <c r="I243" s="47" t="s">
        <v>6232</v>
      </c>
      <c r="J243" s="26" t="s">
        <v>6224</v>
      </c>
      <c r="K243" s="27"/>
      <c r="L243" s="28" t="s">
        <v>6223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5093</v>
      </c>
      <c r="C244" s="44" t="s">
        <v>5094</v>
      </c>
      <c r="D244" s="42" t="s">
        <v>4616</v>
      </c>
      <c r="E244" s="46">
        <v>46125</v>
      </c>
      <c r="F244" s="26" t="s">
        <v>6222</v>
      </c>
      <c r="G244" s="47" t="s">
        <v>6224</v>
      </c>
      <c r="H244" s="26" t="s">
        <v>6223</v>
      </c>
      <c r="I244" s="47" t="s">
        <v>6225</v>
      </c>
      <c r="J244" s="26" t="s">
        <v>6224</v>
      </c>
      <c r="K244" s="27"/>
      <c r="L244" s="28" t="s">
        <v>6223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5095</v>
      </c>
      <c r="C245" s="25" t="s">
        <v>5096</v>
      </c>
      <c r="D245" s="23" t="s">
        <v>4616</v>
      </c>
      <c r="E245" s="46">
        <v>46125</v>
      </c>
      <c r="F245" s="26" t="s">
        <v>6222</v>
      </c>
      <c r="G245" s="47" t="s">
        <v>6232</v>
      </c>
      <c r="H245" s="26" t="s">
        <v>6223</v>
      </c>
      <c r="I245" s="47" t="s">
        <v>6232</v>
      </c>
      <c r="J245" s="26" t="s">
        <v>6224</v>
      </c>
      <c r="K245" s="27"/>
      <c r="L245" s="28" t="s">
        <v>6223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5097</v>
      </c>
      <c r="C246" s="44" t="s">
        <v>5098</v>
      </c>
      <c r="D246" s="42" t="s">
        <v>4616</v>
      </c>
      <c r="E246" s="46">
        <v>46125</v>
      </c>
      <c r="F246" s="26" t="s">
        <v>6222</v>
      </c>
      <c r="G246" s="47" t="s">
        <v>6232</v>
      </c>
      <c r="H246" s="26" t="s">
        <v>6223</v>
      </c>
      <c r="I246" s="47" t="s">
        <v>6232</v>
      </c>
      <c r="J246" s="26" t="s">
        <v>6224</v>
      </c>
      <c r="K246" s="27"/>
      <c r="L246" s="28" t="s">
        <v>6223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5099</v>
      </c>
      <c r="C247" s="25" t="s">
        <v>5100</v>
      </c>
      <c r="D247" s="23" t="s">
        <v>4616</v>
      </c>
      <c r="E247" s="46">
        <v>46125</v>
      </c>
      <c r="F247" s="26" t="s">
        <v>6222</v>
      </c>
      <c r="G247" s="47" t="s">
        <v>6232</v>
      </c>
      <c r="H247" s="26" t="s">
        <v>6223</v>
      </c>
      <c r="I247" s="47" t="s">
        <v>6232</v>
      </c>
      <c r="J247" s="26" t="s">
        <v>6224</v>
      </c>
      <c r="K247" s="27"/>
      <c r="L247" s="28" t="s">
        <v>6223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5101</v>
      </c>
      <c r="C248" s="44" t="s">
        <v>5102</v>
      </c>
      <c r="D248" s="42" t="s">
        <v>4616</v>
      </c>
      <c r="E248" s="46">
        <v>46125</v>
      </c>
      <c r="F248" s="26" t="s">
        <v>6222</v>
      </c>
      <c r="G248" s="47" t="s">
        <v>6232</v>
      </c>
      <c r="H248" s="26" t="s">
        <v>6223</v>
      </c>
      <c r="I248" s="47" t="s">
        <v>6232</v>
      </c>
      <c r="J248" s="26" t="s">
        <v>6224</v>
      </c>
      <c r="K248" s="27"/>
      <c r="L248" s="28" t="s">
        <v>6223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5103</v>
      </c>
      <c r="C249" s="25" t="s">
        <v>5104</v>
      </c>
      <c r="D249" s="23" t="s">
        <v>4616</v>
      </c>
      <c r="E249" s="46">
        <v>46125</v>
      </c>
      <c r="F249" s="26" t="s">
        <v>6222</v>
      </c>
      <c r="G249" s="47" t="s">
        <v>6232</v>
      </c>
      <c r="H249" s="26" t="s">
        <v>6223</v>
      </c>
      <c r="I249" s="47" t="s">
        <v>6232</v>
      </c>
      <c r="J249" s="26" t="s">
        <v>6224</v>
      </c>
      <c r="K249" s="27"/>
      <c r="L249" s="28" t="s">
        <v>6223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5105</v>
      </c>
      <c r="C250" s="44" t="s">
        <v>5106</v>
      </c>
      <c r="D250" s="42" t="s">
        <v>4616</v>
      </c>
      <c r="E250" s="46">
        <v>46125</v>
      </c>
      <c r="F250" s="26" t="s">
        <v>6222</v>
      </c>
      <c r="G250" s="47" t="s">
        <v>6232</v>
      </c>
      <c r="H250" s="26" t="s">
        <v>6223</v>
      </c>
      <c r="I250" s="47" t="s">
        <v>6232</v>
      </c>
      <c r="J250" s="26" t="s">
        <v>6224</v>
      </c>
      <c r="K250" s="27"/>
      <c r="L250" s="28" t="s">
        <v>6223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5107</v>
      </c>
      <c r="C251" s="25" t="s">
        <v>5108</v>
      </c>
      <c r="D251" s="23" t="s">
        <v>4616</v>
      </c>
      <c r="E251" s="46">
        <v>46125</v>
      </c>
      <c r="F251" s="26" t="s">
        <v>6222</v>
      </c>
      <c r="G251" s="47" t="s">
        <v>6224</v>
      </c>
      <c r="H251" s="26" t="s">
        <v>6223</v>
      </c>
      <c r="I251" s="47" t="s">
        <v>6225</v>
      </c>
      <c r="J251" s="26" t="s">
        <v>6224</v>
      </c>
      <c r="K251" s="27"/>
      <c r="L251" s="28" t="s">
        <v>6223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5109</v>
      </c>
      <c r="C252" s="44" t="s">
        <v>5110</v>
      </c>
      <c r="D252" s="42" t="s">
        <v>4616</v>
      </c>
      <c r="E252" s="46">
        <v>46125</v>
      </c>
      <c r="F252" s="26" t="s">
        <v>6222</v>
      </c>
      <c r="G252" s="47" t="s">
        <v>6232</v>
      </c>
      <c r="H252" s="26" t="s">
        <v>6223</v>
      </c>
      <c r="I252" s="47" t="s">
        <v>6232</v>
      </c>
      <c r="J252" s="26" t="s">
        <v>6224</v>
      </c>
      <c r="K252" s="27"/>
      <c r="L252" s="28" t="s">
        <v>6223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5111</v>
      </c>
      <c r="C253" s="25" t="s">
        <v>5112</v>
      </c>
      <c r="D253" s="23" t="s">
        <v>4616</v>
      </c>
      <c r="E253" s="46">
        <v>46125</v>
      </c>
      <c r="F253" s="26" t="s">
        <v>6222</v>
      </c>
      <c r="G253" s="47" t="s">
        <v>6232</v>
      </c>
      <c r="H253" s="26" t="s">
        <v>6223</v>
      </c>
      <c r="I253" s="47" t="s">
        <v>6232</v>
      </c>
      <c r="J253" s="26" t="s">
        <v>6224</v>
      </c>
      <c r="K253" s="27"/>
      <c r="L253" s="28" t="s">
        <v>6223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5113</v>
      </c>
      <c r="C254" s="44" t="s">
        <v>5114</v>
      </c>
      <c r="D254" s="42" t="s">
        <v>4616</v>
      </c>
      <c r="E254" s="46">
        <v>46125</v>
      </c>
      <c r="F254" s="26" t="s">
        <v>6222</v>
      </c>
      <c r="G254" s="47" t="s">
        <v>6232</v>
      </c>
      <c r="H254" s="26" t="s">
        <v>6223</v>
      </c>
      <c r="I254" s="47" t="s">
        <v>6232</v>
      </c>
      <c r="J254" s="26" t="s">
        <v>6224</v>
      </c>
      <c r="K254" s="27"/>
      <c r="L254" s="28" t="s">
        <v>6223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5115</v>
      </c>
      <c r="C255" s="25" t="s">
        <v>5116</v>
      </c>
      <c r="D255" s="23" t="s">
        <v>4616</v>
      </c>
      <c r="E255" s="46">
        <v>46125</v>
      </c>
      <c r="F255" s="26" t="s">
        <v>6222</v>
      </c>
      <c r="G255" s="47" t="s">
        <v>6232</v>
      </c>
      <c r="H255" s="26" t="s">
        <v>6223</v>
      </c>
      <c r="I255" s="47" t="s">
        <v>6232</v>
      </c>
      <c r="J255" s="26" t="s">
        <v>6224</v>
      </c>
      <c r="K255" s="27"/>
      <c r="L255" s="28" t="s">
        <v>6223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5117</v>
      </c>
      <c r="C256" s="44" t="s">
        <v>5118</v>
      </c>
      <c r="D256" s="42" t="s">
        <v>4616</v>
      </c>
      <c r="E256" s="46">
        <v>46125</v>
      </c>
      <c r="F256" s="26" t="s">
        <v>6222</v>
      </c>
      <c r="G256" s="47" t="s">
        <v>6232</v>
      </c>
      <c r="H256" s="26" t="s">
        <v>6223</v>
      </c>
      <c r="I256" s="47" t="s">
        <v>6232</v>
      </c>
      <c r="J256" s="26" t="s">
        <v>6224</v>
      </c>
      <c r="K256" s="27"/>
      <c r="L256" s="28" t="s">
        <v>6223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5119</v>
      </c>
      <c r="C257" s="25" t="s">
        <v>5120</v>
      </c>
      <c r="D257" s="23" t="s">
        <v>4616</v>
      </c>
      <c r="E257" s="46">
        <v>46125</v>
      </c>
      <c r="F257" s="26" t="s">
        <v>6222</v>
      </c>
      <c r="G257" s="47" t="s">
        <v>6232</v>
      </c>
      <c r="H257" s="26" t="s">
        <v>6223</v>
      </c>
      <c r="I257" s="47" t="s">
        <v>6232</v>
      </c>
      <c r="J257" s="26" t="s">
        <v>6224</v>
      </c>
      <c r="K257" s="27"/>
      <c r="L257" s="28" t="s">
        <v>6223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5121</v>
      </c>
      <c r="C258" s="44" t="s">
        <v>5122</v>
      </c>
      <c r="D258" s="42" t="s">
        <v>4616</v>
      </c>
      <c r="E258" s="46">
        <v>46125</v>
      </c>
      <c r="F258" s="26" t="s">
        <v>6222</v>
      </c>
      <c r="G258" s="47" t="s">
        <v>6232</v>
      </c>
      <c r="H258" s="26" t="s">
        <v>6223</v>
      </c>
      <c r="I258" s="47" t="s">
        <v>6232</v>
      </c>
      <c r="J258" s="26" t="s">
        <v>6224</v>
      </c>
      <c r="K258" s="27"/>
      <c r="L258" s="28" t="s">
        <v>6223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5123</v>
      </c>
      <c r="C259" s="25" t="s">
        <v>5124</v>
      </c>
      <c r="D259" s="23" t="s">
        <v>4616</v>
      </c>
      <c r="E259" s="46">
        <v>46125</v>
      </c>
      <c r="F259" s="26" t="s">
        <v>6222</v>
      </c>
      <c r="G259" s="47" t="s">
        <v>6232</v>
      </c>
      <c r="H259" s="26" t="s">
        <v>6223</v>
      </c>
      <c r="I259" s="47" t="s">
        <v>6232</v>
      </c>
      <c r="J259" s="26" t="s">
        <v>6224</v>
      </c>
      <c r="K259" s="27"/>
      <c r="L259" s="28" t="s">
        <v>6223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5125</v>
      </c>
      <c r="C260" s="44" t="s">
        <v>5126</v>
      </c>
      <c r="D260" s="42" t="s">
        <v>4616</v>
      </c>
      <c r="E260" s="46">
        <v>46125</v>
      </c>
      <c r="F260" s="26" t="s">
        <v>6222</v>
      </c>
      <c r="G260" s="47" t="s">
        <v>6232</v>
      </c>
      <c r="H260" s="26" t="s">
        <v>6223</v>
      </c>
      <c r="I260" s="47" t="s">
        <v>6232</v>
      </c>
      <c r="J260" s="26" t="s">
        <v>6224</v>
      </c>
      <c r="K260" s="27"/>
      <c r="L260" s="28" t="s">
        <v>6223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5127</v>
      </c>
      <c r="C261" s="25" t="s">
        <v>5128</v>
      </c>
      <c r="D261" s="23" t="s">
        <v>4616</v>
      </c>
      <c r="E261" s="46">
        <v>46125</v>
      </c>
      <c r="F261" s="26" t="s">
        <v>6222</v>
      </c>
      <c r="G261" s="47" t="s">
        <v>6232</v>
      </c>
      <c r="H261" s="26" t="s">
        <v>6223</v>
      </c>
      <c r="I261" s="47" t="s">
        <v>6232</v>
      </c>
      <c r="J261" s="26" t="s">
        <v>6224</v>
      </c>
      <c r="K261" s="27"/>
      <c r="L261" s="28" t="s">
        <v>6223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5129</v>
      </c>
      <c r="C262" s="44" t="s">
        <v>5130</v>
      </c>
      <c r="D262" s="42" t="s">
        <v>4616</v>
      </c>
      <c r="E262" s="46">
        <v>46125</v>
      </c>
      <c r="F262" s="26" t="s">
        <v>6222</v>
      </c>
      <c r="G262" s="47" t="s">
        <v>6232</v>
      </c>
      <c r="H262" s="26" t="s">
        <v>6223</v>
      </c>
      <c r="I262" s="47" t="s">
        <v>6232</v>
      </c>
      <c r="J262" s="26" t="s">
        <v>6224</v>
      </c>
      <c r="K262" s="27"/>
      <c r="L262" s="28" t="s">
        <v>6223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5131</v>
      </c>
      <c r="C263" s="25" t="s">
        <v>5132</v>
      </c>
      <c r="D263" s="23" t="s">
        <v>4616</v>
      </c>
      <c r="E263" s="46">
        <v>46125</v>
      </c>
      <c r="F263" s="26" t="s">
        <v>6222</v>
      </c>
      <c r="G263" s="47" t="s">
        <v>6232</v>
      </c>
      <c r="H263" s="26" t="s">
        <v>6223</v>
      </c>
      <c r="I263" s="47" t="s">
        <v>6232</v>
      </c>
      <c r="J263" s="26" t="s">
        <v>6224</v>
      </c>
      <c r="K263" s="27"/>
      <c r="L263" s="28" t="s">
        <v>6223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5133</v>
      </c>
      <c r="C264" s="44" t="s">
        <v>5134</v>
      </c>
      <c r="D264" s="42" t="s">
        <v>4616</v>
      </c>
      <c r="E264" s="46">
        <v>46125</v>
      </c>
      <c r="F264" s="26" t="s">
        <v>6222</v>
      </c>
      <c r="G264" s="47" t="s">
        <v>6232</v>
      </c>
      <c r="H264" s="26" t="s">
        <v>6223</v>
      </c>
      <c r="I264" s="47" t="s">
        <v>6232</v>
      </c>
      <c r="J264" s="26" t="s">
        <v>6224</v>
      </c>
      <c r="K264" s="27"/>
      <c r="L264" s="28" t="s">
        <v>6223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5135</v>
      </c>
      <c r="C265" s="25" t="s">
        <v>5136</v>
      </c>
      <c r="D265" s="23" t="s">
        <v>4616</v>
      </c>
      <c r="E265" s="46">
        <v>46125</v>
      </c>
      <c r="F265" s="26" t="s">
        <v>6222</v>
      </c>
      <c r="G265" s="47" t="s">
        <v>6232</v>
      </c>
      <c r="H265" s="26" t="s">
        <v>6223</v>
      </c>
      <c r="I265" s="47" t="s">
        <v>6232</v>
      </c>
      <c r="J265" s="26" t="s">
        <v>6224</v>
      </c>
      <c r="K265" s="27"/>
      <c r="L265" s="28" t="s">
        <v>6223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5137</v>
      </c>
      <c r="C266" s="44" t="s">
        <v>5138</v>
      </c>
      <c r="D266" s="42" t="s">
        <v>4616</v>
      </c>
      <c r="E266" s="46">
        <v>46125</v>
      </c>
      <c r="F266" s="26" t="s">
        <v>6222</v>
      </c>
      <c r="G266" s="47" t="s">
        <v>6232</v>
      </c>
      <c r="H266" s="26" t="s">
        <v>6223</v>
      </c>
      <c r="I266" s="47" t="s">
        <v>6232</v>
      </c>
      <c r="J266" s="26" t="s">
        <v>6224</v>
      </c>
      <c r="K266" s="27"/>
      <c r="L266" s="28" t="s">
        <v>6223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5139</v>
      </c>
      <c r="C267" s="25" t="s">
        <v>5140</v>
      </c>
      <c r="D267" s="23" t="s">
        <v>4616</v>
      </c>
      <c r="E267" s="46">
        <v>46125</v>
      </c>
      <c r="F267" s="26" t="s">
        <v>6222</v>
      </c>
      <c r="G267" s="47" t="s">
        <v>6232</v>
      </c>
      <c r="H267" s="26" t="s">
        <v>6223</v>
      </c>
      <c r="I267" s="47" t="s">
        <v>6232</v>
      </c>
      <c r="J267" s="26" t="s">
        <v>6224</v>
      </c>
      <c r="K267" s="27"/>
      <c r="L267" s="28" t="s">
        <v>6223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5141</v>
      </c>
      <c r="C268" s="44" t="s">
        <v>5142</v>
      </c>
      <c r="D268" s="42" t="s">
        <v>4616</v>
      </c>
      <c r="E268" s="46">
        <v>46125</v>
      </c>
      <c r="F268" s="26" t="s">
        <v>6222</v>
      </c>
      <c r="G268" s="47" t="s">
        <v>6224</v>
      </c>
      <c r="H268" s="26" t="s">
        <v>6223</v>
      </c>
      <c r="I268" s="47" t="s">
        <v>6225</v>
      </c>
      <c r="J268" s="26" t="s">
        <v>6224</v>
      </c>
      <c r="K268" s="27"/>
      <c r="L268" s="28" t="s">
        <v>6223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5143</v>
      </c>
      <c r="C269" s="25" t="s">
        <v>5144</v>
      </c>
      <c r="D269" s="23" t="s">
        <v>4616</v>
      </c>
      <c r="E269" s="46">
        <v>46125</v>
      </c>
      <c r="F269" s="26" t="s">
        <v>6222</v>
      </c>
      <c r="G269" s="47" t="s">
        <v>6232</v>
      </c>
      <c r="H269" s="26" t="s">
        <v>6223</v>
      </c>
      <c r="I269" s="47" t="s">
        <v>6232</v>
      </c>
      <c r="J269" s="26" t="s">
        <v>6224</v>
      </c>
      <c r="K269" s="27"/>
      <c r="L269" s="28" t="s">
        <v>6223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5145</v>
      </c>
      <c r="C270" s="44" t="s">
        <v>5146</v>
      </c>
      <c r="D270" s="42" t="s">
        <v>4616</v>
      </c>
      <c r="E270" s="46">
        <v>46125</v>
      </c>
      <c r="F270" s="26" t="s">
        <v>6222</v>
      </c>
      <c r="G270" s="47" t="s">
        <v>6232</v>
      </c>
      <c r="H270" s="26" t="s">
        <v>6223</v>
      </c>
      <c r="I270" s="47" t="s">
        <v>6232</v>
      </c>
      <c r="J270" s="26" t="s">
        <v>6224</v>
      </c>
      <c r="K270" s="27"/>
      <c r="L270" s="28" t="s">
        <v>6223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5147</v>
      </c>
      <c r="C271" s="25" t="s">
        <v>5148</v>
      </c>
      <c r="D271" s="23" t="s">
        <v>4616</v>
      </c>
      <c r="E271" s="46">
        <v>46125</v>
      </c>
      <c r="F271" s="26" t="s">
        <v>6222</v>
      </c>
      <c r="G271" s="47" t="s">
        <v>6232</v>
      </c>
      <c r="H271" s="26" t="s">
        <v>6223</v>
      </c>
      <c r="I271" s="47" t="s">
        <v>6232</v>
      </c>
      <c r="J271" s="26" t="s">
        <v>6224</v>
      </c>
      <c r="K271" s="27"/>
      <c r="L271" s="28" t="s">
        <v>6223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5149</v>
      </c>
      <c r="C272" s="44" t="s">
        <v>5150</v>
      </c>
      <c r="D272" s="42" t="s">
        <v>4616</v>
      </c>
      <c r="E272" s="46">
        <v>46125</v>
      </c>
      <c r="F272" s="26" t="s">
        <v>6222</v>
      </c>
      <c r="G272" s="47" t="s">
        <v>6232</v>
      </c>
      <c r="H272" s="26" t="s">
        <v>6223</v>
      </c>
      <c r="I272" s="47" t="s">
        <v>6232</v>
      </c>
      <c r="J272" s="26" t="s">
        <v>6224</v>
      </c>
      <c r="K272" s="27"/>
      <c r="L272" s="28" t="s">
        <v>6223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5151</v>
      </c>
      <c r="C273" s="25" t="s">
        <v>5152</v>
      </c>
      <c r="D273" s="23" t="s">
        <v>4616</v>
      </c>
      <c r="E273" s="46">
        <v>46125</v>
      </c>
      <c r="F273" s="26" t="s">
        <v>6222</v>
      </c>
      <c r="G273" s="47" t="s">
        <v>6232</v>
      </c>
      <c r="H273" s="26" t="s">
        <v>6223</v>
      </c>
      <c r="I273" s="47" t="s">
        <v>6232</v>
      </c>
      <c r="J273" s="26" t="s">
        <v>6224</v>
      </c>
      <c r="K273" s="27"/>
      <c r="L273" s="28" t="s">
        <v>6223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5153</v>
      </c>
      <c r="C274" s="44" t="s">
        <v>5154</v>
      </c>
      <c r="D274" s="42" t="s">
        <v>4616</v>
      </c>
      <c r="E274" s="46">
        <v>46125</v>
      </c>
      <c r="F274" s="26" t="s">
        <v>6222</v>
      </c>
      <c r="G274" s="47" t="s">
        <v>6232</v>
      </c>
      <c r="H274" s="26" t="s">
        <v>6223</v>
      </c>
      <c r="I274" s="47" t="s">
        <v>6232</v>
      </c>
      <c r="J274" s="26" t="s">
        <v>6224</v>
      </c>
      <c r="K274" s="27"/>
      <c r="L274" s="28" t="s">
        <v>6223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5155</v>
      </c>
      <c r="C275" s="25" t="s">
        <v>5156</v>
      </c>
      <c r="D275" s="23" t="s">
        <v>4616</v>
      </c>
      <c r="E275" s="46">
        <v>46125</v>
      </c>
      <c r="F275" s="26" t="s">
        <v>6222</v>
      </c>
      <c r="G275" s="47" t="s">
        <v>6232</v>
      </c>
      <c r="H275" s="26" t="s">
        <v>6223</v>
      </c>
      <c r="I275" s="47" t="s">
        <v>6232</v>
      </c>
      <c r="J275" s="26" t="s">
        <v>6224</v>
      </c>
      <c r="K275" s="27"/>
      <c r="L275" s="28" t="s">
        <v>6223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5157</v>
      </c>
      <c r="C276" s="44" t="s">
        <v>5158</v>
      </c>
      <c r="D276" s="42" t="s">
        <v>4616</v>
      </c>
      <c r="E276" s="46">
        <v>46125</v>
      </c>
      <c r="F276" s="26" t="s">
        <v>6222</v>
      </c>
      <c r="G276" s="47" t="s">
        <v>6224</v>
      </c>
      <c r="H276" s="26" t="s">
        <v>6223</v>
      </c>
      <c r="I276" s="47" t="s">
        <v>6225</v>
      </c>
      <c r="J276" s="26" t="s">
        <v>6224</v>
      </c>
      <c r="K276" s="27"/>
      <c r="L276" s="28" t="s">
        <v>6223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5159</v>
      </c>
      <c r="C277" s="25" t="s">
        <v>5160</v>
      </c>
      <c r="D277" s="23" t="s">
        <v>4616</v>
      </c>
      <c r="E277" s="46">
        <v>46125</v>
      </c>
      <c r="F277" s="26" t="s">
        <v>6222</v>
      </c>
      <c r="G277" s="47" t="s">
        <v>6232</v>
      </c>
      <c r="H277" s="26" t="s">
        <v>6223</v>
      </c>
      <c r="I277" s="47" t="s">
        <v>6232</v>
      </c>
      <c r="J277" s="26" t="s">
        <v>6224</v>
      </c>
      <c r="K277" s="27"/>
      <c r="L277" s="28" t="s">
        <v>6223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5161</v>
      </c>
      <c r="C278" s="44" t="s">
        <v>5162</v>
      </c>
      <c r="D278" s="42" t="s">
        <v>4616</v>
      </c>
      <c r="E278" s="46">
        <v>46125</v>
      </c>
      <c r="F278" s="26" t="s">
        <v>6222</v>
      </c>
      <c r="G278" s="47" t="s">
        <v>6232</v>
      </c>
      <c r="H278" s="26" t="s">
        <v>6223</v>
      </c>
      <c r="I278" s="47" t="s">
        <v>6232</v>
      </c>
      <c r="J278" s="26" t="s">
        <v>6224</v>
      </c>
      <c r="K278" s="27"/>
      <c r="L278" s="28" t="s">
        <v>6223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5163</v>
      </c>
      <c r="C279" s="25" t="s">
        <v>5164</v>
      </c>
      <c r="D279" s="23" t="s">
        <v>4616</v>
      </c>
      <c r="E279" s="46">
        <v>46125</v>
      </c>
      <c r="F279" s="26" t="s">
        <v>6222</v>
      </c>
      <c r="G279" s="47" t="s">
        <v>6232</v>
      </c>
      <c r="H279" s="26" t="s">
        <v>6223</v>
      </c>
      <c r="I279" s="47" t="s">
        <v>6232</v>
      </c>
      <c r="J279" s="26" t="s">
        <v>6224</v>
      </c>
      <c r="K279" s="27"/>
      <c r="L279" s="28" t="s">
        <v>6223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5165</v>
      </c>
      <c r="C280" s="44" t="s">
        <v>5166</v>
      </c>
      <c r="D280" s="42" t="s">
        <v>4616</v>
      </c>
      <c r="E280" s="46">
        <v>46125</v>
      </c>
      <c r="F280" s="26" t="s">
        <v>6222</v>
      </c>
      <c r="G280" s="47" t="s">
        <v>6224</v>
      </c>
      <c r="H280" s="26" t="s">
        <v>6223</v>
      </c>
      <c r="I280" s="47" t="s">
        <v>6225</v>
      </c>
      <c r="J280" s="26" t="s">
        <v>6224</v>
      </c>
      <c r="K280" s="27"/>
      <c r="L280" s="28" t="s">
        <v>6223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5167</v>
      </c>
      <c r="C281" s="25" t="s">
        <v>5168</v>
      </c>
      <c r="D281" s="23" t="s">
        <v>4616</v>
      </c>
      <c r="E281" s="46">
        <v>46125</v>
      </c>
      <c r="F281" s="26" t="s">
        <v>6222</v>
      </c>
      <c r="G281" s="47" t="s">
        <v>6232</v>
      </c>
      <c r="H281" s="26" t="s">
        <v>6223</v>
      </c>
      <c r="I281" s="47" t="s">
        <v>6232</v>
      </c>
      <c r="J281" s="26" t="s">
        <v>6224</v>
      </c>
      <c r="K281" s="27"/>
      <c r="L281" s="28" t="s">
        <v>6223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5169</v>
      </c>
      <c r="C282" s="44" t="s">
        <v>5170</v>
      </c>
      <c r="D282" s="42" t="s">
        <v>4616</v>
      </c>
      <c r="E282" s="46">
        <v>46125</v>
      </c>
      <c r="F282" s="26" t="s">
        <v>6222</v>
      </c>
      <c r="G282" s="47" t="s">
        <v>6232</v>
      </c>
      <c r="H282" s="26" t="s">
        <v>6223</v>
      </c>
      <c r="I282" s="47" t="s">
        <v>6232</v>
      </c>
      <c r="J282" s="26" t="s">
        <v>6224</v>
      </c>
      <c r="K282" s="27"/>
      <c r="L282" s="28" t="s">
        <v>6223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5171</v>
      </c>
      <c r="C283" s="25" t="s">
        <v>5172</v>
      </c>
      <c r="D283" s="23" t="s">
        <v>4616</v>
      </c>
      <c r="E283" s="46">
        <v>46125</v>
      </c>
      <c r="F283" s="26" t="s">
        <v>6222</v>
      </c>
      <c r="G283" s="47" t="s">
        <v>6232</v>
      </c>
      <c r="H283" s="26" t="s">
        <v>6223</v>
      </c>
      <c r="I283" s="47" t="s">
        <v>6232</v>
      </c>
      <c r="J283" s="26" t="s">
        <v>6224</v>
      </c>
      <c r="K283" s="27"/>
      <c r="L283" s="28" t="s">
        <v>6223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5173</v>
      </c>
      <c r="C284" s="44" t="s">
        <v>5174</v>
      </c>
      <c r="D284" s="42" t="s">
        <v>4616</v>
      </c>
      <c r="E284" s="46">
        <v>46125</v>
      </c>
      <c r="F284" s="26" t="s">
        <v>6222</v>
      </c>
      <c r="G284" s="47" t="s">
        <v>6232</v>
      </c>
      <c r="H284" s="26" t="s">
        <v>6223</v>
      </c>
      <c r="I284" s="47" t="s">
        <v>6232</v>
      </c>
      <c r="J284" s="26" t="s">
        <v>6224</v>
      </c>
      <c r="K284" s="27"/>
      <c r="L284" s="28" t="s">
        <v>6223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5175</v>
      </c>
      <c r="C285" s="25" t="s">
        <v>5176</v>
      </c>
      <c r="D285" s="23" t="s">
        <v>4616</v>
      </c>
      <c r="E285" s="46">
        <v>46125</v>
      </c>
      <c r="F285" s="26" t="s">
        <v>6222</v>
      </c>
      <c r="G285" s="47" t="s">
        <v>6232</v>
      </c>
      <c r="H285" s="26" t="s">
        <v>6223</v>
      </c>
      <c r="I285" s="47" t="s">
        <v>6232</v>
      </c>
      <c r="J285" s="26" t="s">
        <v>6224</v>
      </c>
      <c r="K285" s="27"/>
      <c r="L285" s="28" t="s">
        <v>6223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5177</v>
      </c>
      <c r="C286" s="44" t="s">
        <v>5178</v>
      </c>
      <c r="D286" s="42" t="s">
        <v>4616</v>
      </c>
      <c r="E286" s="46">
        <v>46125</v>
      </c>
      <c r="F286" s="26" t="s">
        <v>6222</v>
      </c>
      <c r="G286" s="47" t="s">
        <v>6224</v>
      </c>
      <c r="H286" s="26" t="s">
        <v>6223</v>
      </c>
      <c r="I286" s="47" t="s">
        <v>6225</v>
      </c>
      <c r="J286" s="26" t="s">
        <v>6224</v>
      </c>
      <c r="K286" s="27"/>
      <c r="L286" s="28" t="s">
        <v>6223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5179</v>
      </c>
      <c r="C287" s="25" t="s">
        <v>5180</v>
      </c>
      <c r="D287" s="23" t="s">
        <v>4616</v>
      </c>
      <c r="E287" s="46">
        <v>46125</v>
      </c>
      <c r="F287" s="26" t="s">
        <v>6222</v>
      </c>
      <c r="G287" s="47" t="s">
        <v>6232</v>
      </c>
      <c r="H287" s="26" t="s">
        <v>6223</v>
      </c>
      <c r="I287" s="47" t="s">
        <v>6232</v>
      </c>
      <c r="J287" s="26" t="s">
        <v>6224</v>
      </c>
      <c r="K287" s="27"/>
      <c r="L287" s="28" t="s">
        <v>6223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5181</v>
      </c>
      <c r="C288" s="44" t="s">
        <v>5182</v>
      </c>
      <c r="D288" s="42" t="s">
        <v>4616</v>
      </c>
      <c r="E288" s="46">
        <v>46125</v>
      </c>
      <c r="F288" s="26" t="s">
        <v>6222</v>
      </c>
      <c r="G288" s="47" t="s">
        <v>6232</v>
      </c>
      <c r="H288" s="26" t="s">
        <v>6223</v>
      </c>
      <c r="I288" s="47" t="s">
        <v>6232</v>
      </c>
      <c r="J288" s="26" t="s">
        <v>6224</v>
      </c>
      <c r="K288" s="27"/>
      <c r="L288" s="28" t="s">
        <v>6223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5183</v>
      </c>
      <c r="C289" s="25" t="s">
        <v>5184</v>
      </c>
      <c r="D289" s="23" t="s">
        <v>4616</v>
      </c>
      <c r="E289" s="46">
        <v>46125</v>
      </c>
      <c r="F289" s="26" t="s">
        <v>6222</v>
      </c>
      <c r="G289" s="47" t="s">
        <v>6224</v>
      </c>
      <c r="H289" s="26" t="s">
        <v>6223</v>
      </c>
      <c r="I289" s="47" t="s">
        <v>6225</v>
      </c>
      <c r="J289" s="26" t="s">
        <v>6224</v>
      </c>
      <c r="K289" s="27"/>
      <c r="L289" s="28" t="s">
        <v>6223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5185</v>
      </c>
      <c r="C290" s="44" t="s">
        <v>5186</v>
      </c>
      <c r="D290" s="42" t="s">
        <v>4616</v>
      </c>
      <c r="E290" s="46">
        <v>46125</v>
      </c>
      <c r="F290" s="26" t="s">
        <v>6222</v>
      </c>
      <c r="G290" s="47" t="s">
        <v>6232</v>
      </c>
      <c r="H290" s="26" t="s">
        <v>6223</v>
      </c>
      <c r="I290" s="47" t="s">
        <v>6232</v>
      </c>
      <c r="J290" s="26" t="s">
        <v>6224</v>
      </c>
      <c r="K290" s="27"/>
      <c r="L290" s="28" t="s">
        <v>6223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5187</v>
      </c>
      <c r="C291" s="25" t="s">
        <v>5188</v>
      </c>
      <c r="D291" s="23" t="s">
        <v>4616</v>
      </c>
      <c r="E291" s="46">
        <v>46125</v>
      </c>
      <c r="F291" s="26" t="s">
        <v>6222</v>
      </c>
      <c r="G291" s="47" t="s">
        <v>6232</v>
      </c>
      <c r="H291" s="26" t="s">
        <v>6223</v>
      </c>
      <c r="I291" s="47" t="s">
        <v>6232</v>
      </c>
      <c r="J291" s="26" t="s">
        <v>6224</v>
      </c>
      <c r="K291" s="27"/>
      <c r="L291" s="28" t="s">
        <v>6223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5189</v>
      </c>
      <c r="C292" s="44" t="s">
        <v>5190</v>
      </c>
      <c r="D292" s="42" t="s">
        <v>4616</v>
      </c>
      <c r="E292" s="46">
        <v>46125</v>
      </c>
      <c r="F292" s="26" t="s">
        <v>6222</v>
      </c>
      <c r="G292" s="47" t="s">
        <v>6232</v>
      </c>
      <c r="H292" s="26" t="s">
        <v>6223</v>
      </c>
      <c r="I292" s="47" t="s">
        <v>6232</v>
      </c>
      <c r="J292" s="26" t="s">
        <v>6224</v>
      </c>
      <c r="K292" s="27"/>
      <c r="L292" s="28" t="s">
        <v>6223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5191</v>
      </c>
      <c r="C293" s="25" t="s">
        <v>5192</v>
      </c>
      <c r="D293" s="23" t="s">
        <v>4616</v>
      </c>
      <c r="E293" s="46">
        <v>46125</v>
      </c>
      <c r="F293" s="26" t="s">
        <v>6222</v>
      </c>
      <c r="G293" s="47" t="s">
        <v>6232</v>
      </c>
      <c r="H293" s="26" t="s">
        <v>6223</v>
      </c>
      <c r="I293" s="47" t="s">
        <v>6232</v>
      </c>
      <c r="J293" s="26" t="s">
        <v>6224</v>
      </c>
      <c r="K293" s="27"/>
      <c r="L293" s="28" t="s">
        <v>6223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5193</v>
      </c>
      <c r="C294" s="44" t="s">
        <v>5194</v>
      </c>
      <c r="D294" s="42" t="s">
        <v>4616</v>
      </c>
      <c r="E294" s="46">
        <v>46125</v>
      </c>
      <c r="F294" s="26" t="s">
        <v>6222</v>
      </c>
      <c r="G294" s="47" t="s">
        <v>6224</v>
      </c>
      <c r="H294" s="26" t="s">
        <v>6223</v>
      </c>
      <c r="I294" s="47" t="s">
        <v>6225</v>
      </c>
      <c r="J294" s="26" t="s">
        <v>6224</v>
      </c>
      <c r="K294" s="27"/>
      <c r="L294" s="28" t="s">
        <v>6223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5195</v>
      </c>
      <c r="C295" s="25" t="s">
        <v>5196</v>
      </c>
      <c r="D295" s="23" t="s">
        <v>4616</v>
      </c>
      <c r="E295" s="46">
        <v>46125</v>
      </c>
      <c r="F295" s="26" t="s">
        <v>6222</v>
      </c>
      <c r="G295" s="47" t="s">
        <v>6232</v>
      </c>
      <c r="H295" s="26" t="s">
        <v>6223</v>
      </c>
      <c r="I295" s="47" t="s">
        <v>6232</v>
      </c>
      <c r="J295" s="26" t="s">
        <v>6224</v>
      </c>
      <c r="K295" s="27"/>
      <c r="L295" s="28" t="s">
        <v>6223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5197</v>
      </c>
      <c r="C296" s="44" t="s">
        <v>5198</v>
      </c>
      <c r="D296" s="42" t="s">
        <v>4616</v>
      </c>
      <c r="E296" s="46">
        <v>46125</v>
      </c>
      <c r="F296" s="26" t="s">
        <v>6222</v>
      </c>
      <c r="G296" s="47" t="s">
        <v>6232</v>
      </c>
      <c r="H296" s="26" t="s">
        <v>6223</v>
      </c>
      <c r="I296" s="47" t="s">
        <v>6232</v>
      </c>
      <c r="J296" s="26" t="s">
        <v>6224</v>
      </c>
      <c r="K296" s="27"/>
      <c r="L296" s="28" t="s">
        <v>6223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5199</v>
      </c>
      <c r="C297" s="25" t="s">
        <v>5200</v>
      </c>
      <c r="D297" s="23" t="s">
        <v>4616</v>
      </c>
      <c r="E297" s="46">
        <v>46125</v>
      </c>
      <c r="F297" s="26" t="s">
        <v>6222</v>
      </c>
      <c r="G297" s="47" t="s">
        <v>6232</v>
      </c>
      <c r="H297" s="26" t="s">
        <v>6223</v>
      </c>
      <c r="I297" s="47" t="s">
        <v>6232</v>
      </c>
      <c r="J297" s="26" t="s">
        <v>6224</v>
      </c>
      <c r="K297" s="27"/>
      <c r="L297" s="28" t="s">
        <v>6223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5201</v>
      </c>
      <c r="C298" s="44" t="s">
        <v>5202</v>
      </c>
      <c r="D298" s="42" t="s">
        <v>4616</v>
      </c>
      <c r="E298" s="46">
        <v>46125</v>
      </c>
      <c r="F298" s="26" t="s">
        <v>6222</v>
      </c>
      <c r="G298" s="47" t="s">
        <v>6232</v>
      </c>
      <c r="H298" s="26" t="s">
        <v>6223</v>
      </c>
      <c r="I298" s="47" t="s">
        <v>6232</v>
      </c>
      <c r="J298" s="26" t="s">
        <v>6224</v>
      </c>
      <c r="K298" s="27"/>
      <c r="L298" s="28" t="s">
        <v>6223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5203</v>
      </c>
      <c r="C299" s="25" t="s">
        <v>5204</v>
      </c>
      <c r="D299" s="23" t="s">
        <v>4616</v>
      </c>
      <c r="E299" s="46">
        <v>46125</v>
      </c>
      <c r="F299" s="26" t="s">
        <v>6222</v>
      </c>
      <c r="G299" s="47" t="s">
        <v>6232</v>
      </c>
      <c r="H299" s="26" t="s">
        <v>6223</v>
      </c>
      <c r="I299" s="47" t="s">
        <v>6232</v>
      </c>
      <c r="J299" s="26" t="s">
        <v>6224</v>
      </c>
      <c r="K299" s="27"/>
      <c r="L299" s="28" t="s">
        <v>6223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5205</v>
      </c>
      <c r="C300" s="44" t="s">
        <v>5206</v>
      </c>
      <c r="D300" s="42" t="s">
        <v>4616</v>
      </c>
      <c r="E300" s="46">
        <v>46125</v>
      </c>
      <c r="F300" s="26" t="s">
        <v>6222</v>
      </c>
      <c r="G300" s="47" t="s">
        <v>6232</v>
      </c>
      <c r="H300" s="26" t="s">
        <v>6223</v>
      </c>
      <c r="I300" s="47" t="s">
        <v>6232</v>
      </c>
      <c r="J300" s="26" t="s">
        <v>6224</v>
      </c>
      <c r="K300" s="27"/>
      <c r="L300" s="28" t="s">
        <v>6223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5207</v>
      </c>
      <c r="C301" s="25" t="s">
        <v>5208</v>
      </c>
      <c r="D301" s="23" t="s">
        <v>4616</v>
      </c>
      <c r="E301" s="46">
        <v>46125</v>
      </c>
      <c r="F301" s="26" t="s">
        <v>6222</v>
      </c>
      <c r="G301" s="47" t="s">
        <v>6224</v>
      </c>
      <c r="H301" s="26" t="s">
        <v>6223</v>
      </c>
      <c r="I301" s="47" t="s">
        <v>6226</v>
      </c>
      <c r="J301" s="26" t="s">
        <v>6223</v>
      </c>
      <c r="K301" s="27" t="s">
        <v>6233</v>
      </c>
      <c r="L301" s="28" t="s">
        <v>6224</v>
      </c>
      <c r="M301" s="29" t="str">
        <f t="shared" si="20"/>
        <v>⚠ Check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5209</v>
      </c>
      <c r="C302" s="44" t="s">
        <v>5210</v>
      </c>
      <c r="D302" s="42" t="s">
        <v>4616</v>
      </c>
      <c r="E302" s="46">
        <v>46125</v>
      </c>
      <c r="F302" s="26" t="s">
        <v>6222</v>
      </c>
      <c r="G302" s="47" t="s">
        <v>6232</v>
      </c>
      <c r="H302" s="26" t="s">
        <v>6223</v>
      </c>
      <c r="I302" s="47" t="s">
        <v>6232</v>
      </c>
      <c r="J302" s="26" t="s">
        <v>6224</v>
      </c>
      <c r="K302" s="27"/>
      <c r="L302" s="28" t="s">
        <v>6223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5211</v>
      </c>
      <c r="C303" s="25" t="s">
        <v>5212</v>
      </c>
      <c r="D303" s="23" t="s">
        <v>4616</v>
      </c>
      <c r="E303" s="46">
        <v>46125</v>
      </c>
      <c r="F303" s="26" t="s">
        <v>6222</v>
      </c>
      <c r="G303" s="47" t="s">
        <v>6232</v>
      </c>
      <c r="H303" s="26" t="s">
        <v>6223</v>
      </c>
      <c r="I303" s="47" t="s">
        <v>6232</v>
      </c>
      <c r="J303" s="26" t="s">
        <v>6224</v>
      </c>
      <c r="K303" s="27"/>
      <c r="L303" s="28" t="s">
        <v>6223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5213</v>
      </c>
      <c r="C304" s="44" t="s">
        <v>5214</v>
      </c>
      <c r="D304" s="42" t="s">
        <v>4616</v>
      </c>
      <c r="E304" s="46">
        <v>46125</v>
      </c>
      <c r="F304" s="26" t="s">
        <v>6222</v>
      </c>
      <c r="G304" s="47" t="s">
        <v>6232</v>
      </c>
      <c r="H304" s="26" t="s">
        <v>6223</v>
      </c>
      <c r="I304" s="47" t="s">
        <v>6232</v>
      </c>
      <c r="J304" s="26" t="s">
        <v>6224</v>
      </c>
      <c r="K304" s="27"/>
      <c r="L304" s="28" t="s">
        <v>6223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5215</v>
      </c>
      <c r="C305" s="25" t="s">
        <v>5216</v>
      </c>
      <c r="D305" s="23" t="s">
        <v>4616</v>
      </c>
      <c r="E305" s="46">
        <v>46125</v>
      </c>
      <c r="F305" s="26" t="s">
        <v>6222</v>
      </c>
      <c r="G305" s="47" t="s">
        <v>6224</v>
      </c>
      <c r="H305" s="26" t="s">
        <v>6223</v>
      </c>
      <c r="I305" s="47" t="s">
        <v>6225</v>
      </c>
      <c r="J305" s="26" t="s">
        <v>6224</v>
      </c>
      <c r="K305" s="27"/>
      <c r="L305" s="28" t="s">
        <v>6223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5217</v>
      </c>
      <c r="C306" s="44" t="s">
        <v>5218</v>
      </c>
      <c r="D306" s="42" t="s">
        <v>4616</v>
      </c>
      <c r="E306" s="46">
        <v>46125</v>
      </c>
      <c r="F306" s="26" t="s">
        <v>6222</v>
      </c>
      <c r="G306" s="47" t="s">
        <v>6224</v>
      </c>
      <c r="H306" s="26" t="s">
        <v>6223</v>
      </c>
      <c r="I306" s="47" t="s">
        <v>6225</v>
      </c>
      <c r="J306" s="26" t="s">
        <v>6224</v>
      </c>
      <c r="K306" s="27"/>
      <c r="L306" s="28" t="s">
        <v>6223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5219</v>
      </c>
      <c r="C307" s="25" t="s">
        <v>5220</v>
      </c>
      <c r="D307" s="23" t="s">
        <v>4616</v>
      </c>
      <c r="E307" s="46">
        <v>46125</v>
      </c>
      <c r="F307" s="26" t="s">
        <v>6222</v>
      </c>
      <c r="G307" s="47" t="s">
        <v>6232</v>
      </c>
      <c r="H307" s="26" t="s">
        <v>6223</v>
      </c>
      <c r="I307" s="47" t="s">
        <v>6232</v>
      </c>
      <c r="J307" s="26" t="s">
        <v>6224</v>
      </c>
      <c r="K307" s="27"/>
      <c r="L307" s="28" t="s">
        <v>6223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5221</v>
      </c>
      <c r="C308" s="44" t="s">
        <v>5222</v>
      </c>
      <c r="D308" s="42" t="s">
        <v>4616</v>
      </c>
      <c r="E308" s="46">
        <v>46125</v>
      </c>
      <c r="F308" s="26" t="s">
        <v>6222</v>
      </c>
      <c r="G308" s="47" t="s">
        <v>6232</v>
      </c>
      <c r="H308" s="26" t="s">
        <v>6223</v>
      </c>
      <c r="I308" s="47" t="s">
        <v>6232</v>
      </c>
      <c r="J308" s="26" t="s">
        <v>6224</v>
      </c>
      <c r="K308" s="27"/>
      <c r="L308" s="28" t="s">
        <v>6223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5223</v>
      </c>
      <c r="C309" s="25" t="s">
        <v>5224</v>
      </c>
      <c r="D309" s="23" t="s">
        <v>4616</v>
      </c>
      <c r="E309" s="46">
        <v>46125</v>
      </c>
      <c r="F309" s="26" t="s">
        <v>6222</v>
      </c>
      <c r="G309" s="47" t="s">
        <v>6232</v>
      </c>
      <c r="H309" s="26" t="s">
        <v>6223</v>
      </c>
      <c r="I309" s="47" t="s">
        <v>6232</v>
      </c>
      <c r="J309" s="26" t="s">
        <v>6224</v>
      </c>
      <c r="K309" s="27"/>
      <c r="L309" s="28" t="s">
        <v>6223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5225</v>
      </c>
      <c r="C310" s="44" t="s">
        <v>5226</v>
      </c>
      <c r="D310" s="42" t="s">
        <v>4616</v>
      </c>
      <c r="E310" s="46">
        <v>46125</v>
      </c>
      <c r="F310" s="26" t="s">
        <v>6222</v>
      </c>
      <c r="G310" s="47" t="s">
        <v>6224</v>
      </c>
      <c r="H310" s="26" t="s">
        <v>6223</v>
      </c>
      <c r="I310" s="47" t="s">
        <v>6225</v>
      </c>
      <c r="J310" s="26" t="s">
        <v>6224</v>
      </c>
      <c r="K310" s="27"/>
      <c r="L310" s="28" t="s">
        <v>6223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5227</v>
      </c>
      <c r="C311" s="25" t="s">
        <v>5228</v>
      </c>
      <c r="D311" s="23" t="s">
        <v>4616</v>
      </c>
      <c r="E311" s="46">
        <v>46125</v>
      </c>
      <c r="F311" s="26" t="s">
        <v>6222</v>
      </c>
      <c r="G311" s="47" t="s">
        <v>6232</v>
      </c>
      <c r="H311" s="26" t="s">
        <v>6223</v>
      </c>
      <c r="I311" s="47" t="s">
        <v>6232</v>
      </c>
      <c r="J311" s="26" t="s">
        <v>6224</v>
      </c>
      <c r="K311" s="27"/>
      <c r="L311" s="28" t="s">
        <v>6223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5229</v>
      </c>
      <c r="C312" s="44" t="s">
        <v>5230</v>
      </c>
      <c r="D312" s="42" t="s">
        <v>4616</v>
      </c>
      <c r="E312" s="46">
        <v>46125</v>
      </c>
      <c r="F312" s="26" t="s">
        <v>6222</v>
      </c>
      <c r="G312" s="47" t="s">
        <v>6232</v>
      </c>
      <c r="H312" s="26" t="s">
        <v>6223</v>
      </c>
      <c r="I312" s="47" t="s">
        <v>6232</v>
      </c>
      <c r="J312" s="26" t="s">
        <v>6224</v>
      </c>
      <c r="K312" s="27"/>
      <c r="L312" s="28" t="s">
        <v>6223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5231</v>
      </c>
      <c r="C313" s="25" t="s">
        <v>5232</v>
      </c>
      <c r="D313" s="23" t="s">
        <v>4616</v>
      </c>
      <c r="E313" s="46">
        <v>46125</v>
      </c>
      <c r="F313" s="26" t="s">
        <v>6222</v>
      </c>
      <c r="G313" s="47" t="s">
        <v>6224</v>
      </c>
      <c r="H313" s="26" t="s">
        <v>6223</v>
      </c>
      <c r="I313" s="47" t="s">
        <v>6225</v>
      </c>
      <c r="J313" s="26" t="s">
        <v>6224</v>
      </c>
      <c r="K313" s="27"/>
      <c r="L313" s="28" t="s">
        <v>6223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5233</v>
      </c>
      <c r="C314" s="44" t="s">
        <v>5234</v>
      </c>
      <c r="D314" s="42" t="s">
        <v>4616</v>
      </c>
      <c r="E314" s="46">
        <v>46125</v>
      </c>
      <c r="F314" s="26" t="s">
        <v>6222</v>
      </c>
      <c r="G314" s="47" t="s">
        <v>6232</v>
      </c>
      <c r="H314" s="26" t="s">
        <v>6223</v>
      </c>
      <c r="I314" s="47" t="s">
        <v>6232</v>
      </c>
      <c r="J314" s="26" t="s">
        <v>6224</v>
      </c>
      <c r="K314" s="27"/>
      <c r="L314" s="28" t="s">
        <v>6223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5235</v>
      </c>
      <c r="C315" s="25" t="s">
        <v>5236</v>
      </c>
      <c r="D315" s="23" t="s">
        <v>4616</v>
      </c>
      <c r="E315" s="46">
        <v>46125</v>
      </c>
      <c r="F315" s="26" t="s">
        <v>6222</v>
      </c>
      <c r="G315" s="47" t="s">
        <v>6223</v>
      </c>
      <c r="H315" s="26" t="s">
        <v>6223</v>
      </c>
      <c r="I315" s="47" t="s">
        <v>6228</v>
      </c>
      <c r="J315" s="26" t="s">
        <v>6223</v>
      </c>
      <c r="K315" s="27"/>
      <c r="L315" s="28" t="s">
        <v>6224</v>
      </c>
      <c r="M315" s="29" t="str">
        <f t="shared" si="20"/>
        <v>⚠ Missing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5237</v>
      </c>
      <c r="C316" s="44" t="s">
        <v>5238</v>
      </c>
      <c r="D316" s="42" t="s">
        <v>4616</v>
      </c>
      <c r="E316" s="46">
        <v>46125</v>
      </c>
      <c r="F316" s="26" t="s">
        <v>6222</v>
      </c>
      <c r="G316" s="47" t="s">
        <v>6223</v>
      </c>
      <c r="H316" s="26" t="s">
        <v>6223</v>
      </c>
      <c r="I316" s="47" t="s">
        <v>6228</v>
      </c>
      <c r="J316" s="26" t="s">
        <v>6223</v>
      </c>
      <c r="K316" s="27"/>
      <c r="L316" s="28" t="s">
        <v>6224</v>
      </c>
      <c r="M316" s="29" t="str">
        <f t="shared" si="20"/>
        <v>⚠ Missing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5239</v>
      </c>
      <c r="C317" s="25" t="s">
        <v>5240</v>
      </c>
      <c r="D317" s="23" t="s">
        <v>4616</v>
      </c>
      <c r="E317" s="46">
        <v>46125</v>
      </c>
      <c r="F317" s="26" t="s">
        <v>6222</v>
      </c>
      <c r="G317" s="47" t="s">
        <v>6223</v>
      </c>
      <c r="H317" s="26" t="s">
        <v>6223</v>
      </c>
      <c r="I317" s="47" t="s">
        <v>6228</v>
      </c>
      <c r="J317" s="26" t="s">
        <v>6223</v>
      </c>
      <c r="K317" s="27"/>
      <c r="L317" s="28" t="s">
        <v>6224</v>
      </c>
      <c r="M317" s="29" t="str">
        <f t="shared" si="20"/>
        <v>⚠ Missing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5241</v>
      </c>
      <c r="C318" s="44" t="s">
        <v>5242</v>
      </c>
      <c r="D318" s="42" t="s">
        <v>4616</v>
      </c>
      <c r="E318" s="46">
        <v>46125</v>
      </c>
      <c r="F318" s="26" t="s">
        <v>6222</v>
      </c>
      <c r="G318" s="47" t="s">
        <v>6224</v>
      </c>
      <c r="H318" s="26" t="s">
        <v>6223</v>
      </c>
      <c r="I318" s="47" t="s">
        <v>6225</v>
      </c>
      <c r="J318" s="26" t="s">
        <v>6224</v>
      </c>
      <c r="K318" s="27"/>
      <c r="L318" s="28" t="s">
        <v>6223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5243</v>
      </c>
      <c r="C319" s="25" t="s">
        <v>5244</v>
      </c>
      <c r="D319" s="23" t="s">
        <v>4616</v>
      </c>
      <c r="E319" s="46">
        <v>46125</v>
      </c>
      <c r="F319" s="26" t="s">
        <v>6222</v>
      </c>
      <c r="G319" s="47" t="s">
        <v>6232</v>
      </c>
      <c r="H319" s="26" t="s">
        <v>6223</v>
      </c>
      <c r="I319" s="47" t="s">
        <v>6232</v>
      </c>
      <c r="J319" s="26" t="s">
        <v>6224</v>
      </c>
      <c r="K319" s="27"/>
      <c r="L319" s="28" t="s">
        <v>6223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5245</v>
      </c>
      <c r="C320" s="44" t="s">
        <v>5246</v>
      </c>
      <c r="D320" s="42" t="s">
        <v>4616</v>
      </c>
      <c r="E320" s="46">
        <v>46125</v>
      </c>
      <c r="F320" s="26" t="s">
        <v>6222</v>
      </c>
      <c r="G320" s="47" t="s">
        <v>6232</v>
      </c>
      <c r="H320" s="26" t="s">
        <v>6223</v>
      </c>
      <c r="I320" s="47" t="s">
        <v>6232</v>
      </c>
      <c r="J320" s="26" t="s">
        <v>6224</v>
      </c>
      <c r="K320" s="27"/>
      <c r="L320" s="28" t="s">
        <v>6223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5247</v>
      </c>
      <c r="C321" s="25" t="s">
        <v>5248</v>
      </c>
      <c r="D321" s="23" t="s">
        <v>4616</v>
      </c>
      <c r="E321" s="46">
        <v>46125</v>
      </c>
      <c r="F321" s="26" t="s">
        <v>6222</v>
      </c>
      <c r="G321" s="47" t="s">
        <v>6232</v>
      </c>
      <c r="H321" s="26" t="s">
        <v>6223</v>
      </c>
      <c r="I321" s="47" t="s">
        <v>6232</v>
      </c>
      <c r="J321" s="26" t="s">
        <v>6224</v>
      </c>
      <c r="K321" s="27"/>
      <c r="L321" s="28" t="s">
        <v>6223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5249</v>
      </c>
      <c r="C322" s="44" t="s">
        <v>5250</v>
      </c>
      <c r="D322" s="42" t="s">
        <v>4616</v>
      </c>
      <c r="E322" s="46">
        <v>46125</v>
      </c>
      <c r="F322" s="26" t="s">
        <v>6222</v>
      </c>
      <c r="G322" s="47" t="s">
        <v>6232</v>
      </c>
      <c r="H322" s="26" t="s">
        <v>6223</v>
      </c>
      <c r="I322" s="47" t="s">
        <v>6232</v>
      </c>
      <c r="J322" s="26" t="s">
        <v>6224</v>
      </c>
      <c r="K322" s="27"/>
      <c r="L322" s="28" t="s">
        <v>6223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5251</v>
      </c>
      <c r="C323" s="25" t="s">
        <v>5252</v>
      </c>
      <c r="D323" s="23" t="s">
        <v>4616</v>
      </c>
      <c r="E323" s="46">
        <v>46125</v>
      </c>
      <c r="F323" s="26" t="s">
        <v>6222</v>
      </c>
      <c r="G323" s="47" t="s">
        <v>6232</v>
      </c>
      <c r="H323" s="26" t="s">
        <v>6223</v>
      </c>
      <c r="I323" s="47" t="s">
        <v>6232</v>
      </c>
      <c r="J323" s="26" t="s">
        <v>6224</v>
      </c>
      <c r="K323" s="27"/>
      <c r="L323" s="28" t="s">
        <v>6223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5253</v>
      </c>
      <c r="C324" s="44" t="s">
        <v>5254</v>
      </c>
      <c r="D324" s="42" t="s">
        <v>4616</v>
      </c>
      <c r="E324" s="46">
        <v>46125</v>
      </c>
      <c r="F324" s="26" t="s">
        <v>6222</v>
      </c>
      <c r="G324" s="47" t="s">
        <v>6224</v>
      </c>
      <c r="H324" s="26" t="s">
        <v>6223</v>
      </c>
      <c r="I324" s="47" t="s">
        <v>6225</v>
      </c>
      <c r="J324" s="26" t="s">
        <v>6224</v>
      </c>
      <c r="K324" s="27"/>
      <c r="L324" s="28" t="s">
        <v>6223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5255</v>
      </c>
      <c r="C325" s="25" t="s">
        <v>5256</v>
      </c>
      <c r="D325" s="23" t="s">
        <v>4616</v>
      </c>
      <c r="E325" s="46">
        <v>46125</v>
      </c>
      <c r="F325" s="26" t="s">
        <v>6222</v>
      </c>
      <c r="G325" s="47" t="s">
        <v>6232</v>
      </c>
      <c r="H325" s="26" t="s">
        <v>6223</v>
      </c>
      <c r="I325" s="47" t="s">
        <v>6232</v>
      </c>
      <c r="J325" s="26" t="s">
        <v>6224</v>
      </c>
      <c r="K325" s="27"/>
      <c r="L325" s="28" t="s">
        <v>6223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5257</v>
      </c>
      <c r="C326" s="44" t="s">
        <v>5258</v>
      </c>
      <c r="D326" s="42" t="s">
        <v>4616</v>
      </c>
      <c r="E326" s="46">
        <v>46125</v>
      </c>
      <c r="F326" s="26" t="s">
        <v>6222</v>
      </c>
      <c r="G326" s="47" t="s">
        <v>6232</v>
      </c>
      <c r="H326" s="26" t="s">
        <v>6223</v>
      </c>
      <c r="I326" s="47" t="s">
        <v>6232</v>
      </c>
      <c r="J326" s="26" t="s">
        <v>6224</v>
      </c>
      <c r="K326" s="27"/>
      <c r="L326" s="28" t="s">
        <v>6223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5259</v>
      </c>
      <c r="C327" s="25" t="s">
        <v>5260</v>
      </c>
      <c r="D327" s="23" t="s">
        <v>4616</v>
      </c>
      <c r="E327" s="46">
        <v>46125</v>
      </c>
      <c r="F327" s="26" t="s">
        <v>6222</v>
      </c>
      <c r="G327" s="47" t="s">
        <v>6232</v>
      </c>
      <c r="H327" s="26" t="s">
        <v>6223</v>
      </c>
      <c r="I327" s="47" t="s">
        <v>6232</v>
      </c>
      <c r="J327" s="26" t="s">
        <v>6224</v>
      </c>
      <c r="K327" s="27"/>
      <c r="L327" s="28" t="s">
        <v>6223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5261</v>
      </c>
      <c r="C328" s="44" t="s">
        <v>5262</v>
      </c>
      <c r="D328" s="42" t="s">
        <v>4616</v>
      </c>
      <c r="E328" s="46">
        <v>46125</v>
      </c>
      <c r="F328" s="26" t="s">
        <v>6222</v>
      </c>
      <c r="G328" s="47" t="s">
        <v>6232</v>
      </c>
      <c r="H328" s="26" t="s">
        <v>6223</v>
      </c>
      <c r="I328" s="47" t="s">
        <v>6232</v>
      </c>
      <c r="J328" s="26" t="s">
        <v>6224</v>
      </c>
      <c r="K328" s="27"/>
      <c r="L328" s="28" t="s">
        <v>6223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5263</v>
      </c>
      <c r="C329" s="25" t="s">
        <v>5264</v>
      </c>
      <c r="D329" s="23" t="s">
        <v>4616</v>
      </c>
      <c r="E329" s="46">
        <v>46125</v>
      </c>
      <c r="F329" s="26" t="s">
        <v>6222</v>
      </c>
      <c r="G329" s="47" t="s">
        <v>6224</v>
      </c>
      <c r="H329" s="26" t="s">
        <v>6223</v>
      </c>
      <c r="I329" s="47" t="s">
        <v>6225</v>
      </c>
      <c r="J329" s="26" t="s">
        <v>6224</v>
      </c>
      <c r="K329" s="27"/>
      <c r="L329" s="28" t="s">
        <v>6223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5265</v>
      </c>
      <c r="C330" s="44" t="s">
        <v>5266</v>
      </c>
      <c r="D330" s="42" t="s">
        <v>4616</v>
      </c>
      <c r="E330" s="46">
        <v>46125</v>
      </c>
      <c r="F330" s="26" t="s">
        <v>6222</v>
      </c>
      <c r="G330" s="47" t="s">
        <v>6232</v>
      </c>
      <c r="H330" s="26" t="s">
        <v>6223</v>
      </c>
      <c r="I330" s="47" t="s">
        <v>6232</v>
      </c>
      <c r="J330" s="26" t="s">
        <v>6224</v>
      </c>
      <c r="K330" s="27"/>
      <c r="L330" s="28" t="s">
        <v>6223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5267</v>
      </c>
      <c r="C331" s="25" t="s">
        <v>5268</v>
      </c>
      <c r="D331" s="23" t="s">
        <v>4616</v>
      </c>
      <c r="E331" s="46">
        <v>46125</v>
      </c>
      <c r="F331" s="26" t="s">
        <v>6222</v>
      </c>
      <c r="G331" s="47" t="s">
        <v>6232</v>
      </c>
      <c r="H331" s="26" t="s">
        <v>6223</v>
      </c>
      <c r="I331" s="47" t="s">
        <v>6232</v>
      </c>
      <c r="J331" s="26" t="s">
        <v>6224</v>
      </c>
      <c r="K331" s="27"/>
      <c r="L331" s="28" t="s">
        <v>6223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5269</v>
      </c>
      <c r="C332" s="44" t="s">
        <v>5270</v>
      </c>
      <c r="D332" s="42" t="s">
        <v>4616</v>
      </c>
      <c r="E332" s="46">
        <v>46125</v>
      </c>
      <c r="F332" s="26" t="s">
        <v>6222</v>
      </c>
      <c r="G332" s="47" t="s">
        <v>6224</v>
      </c>
      <c r="H332" s="26" t="s">
        <v>6223</v>
      </c>
      <c r="I332" s="47" t="s">
        <v>6225</v>
      </c>
      <c r="J332" s="26" t="s">
        <v>6224</v>
      </c>
      <c r="K332" s="27"/>
      <c r="L332" s="28" t="s">
        <v>6223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5271</v>
      </c>
      <c r="C333" s="25" t="s">
        <v>5272</v>
      </c>
      <c r="D333" s="23" t="s">
        <v>4616</v>
      </c>
      <c r="E333" s="46">
        <v>46125</v>
      </c>
      <c r="F333" s="26" t="s">
        <v>6222</v>
      </c>
      <c r="G333" s="47" t="s">
        <v>6232</v>
      </c>
      <c r="H333" s="26" t="s">
        <v>6223</v>
      </c>
      <c r="I333" s="47" t="s">
        <v>6232</v>
      </c>
      <c r="J333" s="26" t="s">
        <v>6224</v>
      </c>
      <c r="K333" s="27"/>
      <c r="L333" s="28" t="s">
        <v>6223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5273</v>
      </c>
      <c r="C334" s="44" t="s">
        <v>5274</v>
      </c>
      <c r="D334" s="42" t="s">
        <v>4616</v>
      </c>
      <c r="E334" s="46">
        <v>46125</v>
      </c>
      <c r="F334" s="26" t="s">
        <v>6222</v>
      </c>
      <c r="G334" s="47" t="s">
        <v>6232</v>
      </c>
      <c r="H334" s="26" t="s">
        <v>6223</v>
      </c>
      <c r="I334" s="47" t="s">
        <v>6232</v>
      </c>
      <c r="J334" s="26" t="s">
        <v>6224</v>
      </c>
      <c r="K334" s="27"/>
      <c r="L334" s="28" t="s">
        <v>6223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5275</v>
      </c>
      <c r="C335" s="25" t="s">
        <v>5276</v>
      </c>
      <c r="D335" s="23" t="s">
        <v>4616</v>
      </c>
      <c r="E335" s="46">
        <v>46125</v>
      </c>
      <c r="F335" s="26" t="s">
        <v>6222</v>
      </c>
      <c r="G335" s="47" t="s">
        <v>6232</v>
      </c>
      <c r="H335" s="26" t="s">
        <v>6223</v>
      </c>
      <c r="I335" s="47" t="s">
        <v>6232</v>
      </c>
      <c r="J335" s="26" t="s">
        <v>6224</v>
      </c>
      <c r="K335" s="27"/>
      <c r="L335" s="28" t="s">
        <v>6223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5277</v>
      </c>
      <c r="C336" s="44" t="s">
        <v>5278</v>
      </c>
      <c r="D336" s="42" t="s">
        <v>4616</v>
      </c>
      <c r="E336" s="46">
        <v>46125</v>
      </c>
      <c r="F336" s="26" t="s">
        <v>6222</v>
      </c>
      <c r="G336" s="47" t="s">
        <v>6232</v>
      </c>
      <c r="H336" s="26" t="s">
        <v>6223</v>
      </c>
      <c r="I336" s="47" t="s">
        <v>6232</v>
      </c>
      <c r="J336" s="26" t="s">
        <v>6224</v>
      </c>
      <c r="K336" s="27"/>
      <c r="L336" s="28" t="s">
        <v>6223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5279</v>
      </c>
      <c r="C337" s="25" t="s">
        <v>5280</v>
      </c>
      <c r="D337" s="23" t="s">
        <v>4616</v>
      </c>
      <c r="E337" s="46">
        <v>46125</v>
      </c>
      <c r="F337" s="26" t="s">
        <v>6222</v>
      </c>
      <c r="G337" s="47" t="s">
        <v>6224</v>
      </c>
      <c r="H337" s="26" t="s">
        <v>6223</v>
      </c>
      <c r="I337" s="47" t="s">
        <v>6225</v>
      </c>
      <c r="J337" s="26" t="s">
        <v>6224</v>
      </c>
      <c r="K337" s="27"/>
      <c r="L337" s="28" t="s">
        <v>6223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5281</v>
      </c>
      <c r="C338" s="44" t="s">
        <v>5282</v>
      </c>
      <c r="D338" s="42" t="s">
        <v>4616</v>
      </c>
      <c r="E338" s="46">
        <v>46125</v>
      </c>
      <c r="F338" s="26" t="s">
        <v>6222</v>
      </c>
      <c r="G338" s="47" t="s">
        <v>6232</v>
      </c>
      <c r="H338" s="26" t="s">
        <v>6223</v>
      </c>
      <c r="I338" s="47" t="s">
        <v>6232</v>
      </c>
      <c r="J338" s="26" t="s">
        <v>6224</v>
      </c>
      <c r="K338" s="27"/>
      <c r="L338" s="28" t="s">
        <v>6223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5283</v>
      </c>
      <c r="C339" s="25" t="s">
        <v>5284</v>
      </c>
      <c r="D339" s="23" t="s">
        <v>4616</v>
      </c>
      <c r="E339" s="46">
        <v>46125</v>
      </c>
      <c r="F339" s="26" t="s">
        <v>6222</v>
      </c>
      <c r="G339" s="47" t="s">
        <v>6232</v>
      </c>
      <c r="H339" s="26" t="s">
        <v>6223</v>
      </c>
      <c r="I339" s="47" t="s">
        <v>6232</v>
      </c>
      <c r="J339" s="26" t="s">
        <v>6224</v>
      </c>
      <c r="K339" s="27"/>
      <c r="L339" s="28" t="s">
        <v>6223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5285</v>
      </c>
      <c r="C340" s="44" t="s">
        <v>5286</v>
      </c>
      <c r="D340" s="42" t="s">
        <v>4616</v>
      </c>
      <c r="E340" s="46">
        <v>46125</v>
      </c>
      <c r="F340" s="26" t="s">
        <v>6222</v>
      </c>
      <c r="G340" s="47" t="s">
        <v>6232</v>
      </c>
      <c r="H340" s="26" t="s">
        <v>6223</v>
      </c>
      <c r="I340" s="47" t="s">
        <v>6232</v>
      </c>
      <c r="J340" s="26" t="s">
        <v>6224</v>
      </c>
      <c r="K340" s="27"/>
      <c r="L340" s="28" t="s">
        <v>6223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5287</v>
      </c>
      <c r="C341" s="25" t="s">
        <v>5288</v>
      </c>
      <c r="D341" s="23" t="s">
        <v>4616</v>
      </c>
      <c r="E341" s="46">
        <v>46125</v>
      </c>
      <c r="F341" s="26" t="s">
        <v>6222</v>
      </c>
      <c r="G341" s="47" t="s">
        <v>6232</v>
      </c>
      <c r="H341" s="26" t="s">
        <v>6223</v>
      </c>
      <c r="I341" s="47" t="s">
        <v>6232</v>
      </c>
      <c r="J341" s="26" t="s">
        <v>6224</v>
      </c>
      <c r="K341" s="27"/>
      <c r="L341" s="28" t="s">
        <v>6223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5289</v>
      </c>
      <c r="C342" s="44" t="s">
        <v>5290</v>
      </c>
      <c r="D342" s="42" t="s">
        <v>4616</v>
      </c>
      <c r="E342" s="46">
        <v>46125</v>
      </c>
      <c r="F342" s="26" t="s">
        <v>6222</v>
      </c>
      <c r="G342" s="47" t="s">
        <v>6232</v>
      </c>
      <c r="H342" s="26" t="s">
        <v>6223</v>
      </c>
      <c r="I342" s="47" t="s">
        <v>6232</v>
      </c>
      <c r="J342" s="26" t="s">
        <v>6224</v>
      </c>
      <c r="K342" s="27"/>
      <c r="L342" s="28" t="s">
        <v>6223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5291</v>
      </c>
      <c r="C343" s="25" t="s">
        <v>5292</v>
      </c>
      <c r="D343" s="23" t="s">
        <v>4616</v>
      </c>
      <c r="E343" s="46">
        <v>46125</v>
      </c>
      <c r="F343" s="26" t="s">
        <v>6222</v>
      </c>
      <c r="G343" s="47" t="s">
        <v>6232</v>
      </c>
      <c r="H343" s="26" t="s">
        <v>6223</v>
      </c>
      <c r="I343" s="47" t="s">
        <v>6232</v>
      </c>
      <c r="J343" s="26" t="s">
        <v>6224</v>
      </c>
      <c r="K343" s="27"/>
      <c r="L343" s="28" t="s">
        <v>6223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5293</v>
      </c>
      <c r="C344" s="44" t="s">
        <v>5294</v>
      </c>
      <c r="D344" s="42" t="s">
        <v>4616</v>
      </c>
      <c r="E344" s="46">
        <v>46125</v>
      </c>
      <c r="F344" s="26" t="s">
        <v>6222</v>
      </c>
      <c r="G344" s="47" t="s">
        <v>6232</v>
      </c>
      <c r="H344" s="26" t="s">
        <v>6223</v>
      </c>
      <c r="I344" s="47" t="s">
        <v>6232</v>
      </c>
      <c r="J344" s="26" t="s">
        <v>6224</v>
      </c>
      <c r="K344" s="27"/>
      <c r="L344" s="28" t="s">
        <v>6223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5295</v>
      </c>
      <c r="C345" s="25" t="s">
        <v>5296</v>
      </c>
      <c r="D345" s="23" t="s">
        <v>4616</v>
      </c>
      <c r="E345" s="46">
        <v>46125</v>
      </c>
      <c r="F345" s="26" t="s">
        <v>6222</v>
      </c>
      <c r="G345" s="47" t="s">
        <v>6232</v>
      </c>
      <c r="H345" s="26" t="s">
        <v>6223</v>
      </c>
      <c r="I345" s="47" t="s">
        <v>6232</v>
      </c>
      <c r="J345" s="26" t="s">
        <v>6224</v>
      </c>
      <c r="K345" s="27"/>
      <c r="L345" s="28" t="s">
        <v>6223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5297</v>
      </c>
      <c r="C346" s="44" t="s">
        <v>5298</v>
      </c>
      <c r="D346" s="42" t="s">
        <v>4616</v>
      </c>
      <c r="E346" s="46">
        <v>46125</v>
      </c>
      <c r="F346" s="26" t="s">
        <v>6222</v>
      </c>
      <c r="G346" s="47" t="s">
        <v>6232</v>
      </c>
      <c r="H346" s="26" t="s">
        <v>6223</v>
      </c>
      <c r="I346" s="47" t="s">
        <v>6232</v>
      </c>
      <c r="J346" s="26" t="s">
        <v>6224</v>
      </c>
      <c r="K346" s="27"/>
      <c r="L346" s="28" t="s">
        <v>6223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5299</v>
      </c>
      <c r="C347" s="25" t="s">
        <v>5300</v>
      </c>
      <c r="D347" s="23" t="s">
        <v>4616</v>
      </c>
      <c r="E347" s="46">
        <v>46125</v>
      </c>
      <c r="F347" s="26" t="s">
        <v>6222</v>
      </c>
      <c r="G347" s="47" t="s">
        <v>6232</v>
      </c>
      <c r="H347" s="26" t="s">
        <v>6223</v>
      </c>
      <c r="I347" s="47" t="s">
        <v>6232</v>
      </c>
      <c r="J347" s="26" t="s">
        <v>6224</v>
      </c>
      <c r="K347" s="27"/>
      <c r="L347" s="28" t="s">
        <v>6223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5301</v>
      </c>
      <c r="C348" s="44" t="s">
        <v>5302</v>
      </c>
      <c r="D348" s="42" t="s">
        <v>4616</v>
      </c>
      <c r="E348" s="46">
        <v>46125</v>
      </c>
      <c r="F348" s="26" t="s">
        <v>6222</v>
      </c>
      <c r="G348" s="47" t="s">
        <v>6224</v>
      </c>
      <c r="H348" s="26" t="s">
        <v>6223</v>
      </c>
      <c r="I348" s="47" t="s">
        <v>6225</v>
      </c>
      <c r="J348" s="26" t="s">
        <v>6224</v>
      </c>
      <c r="K348" s="27"/>
      <c r="L348" s="28" t="s">
        <v>6223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5303</v>
      </c>
      <c r="C349" s="25" t="s">
        <v>5304</v>
      </c>
      <c r="D349" s="23" t="s">
        <v>4616</v>
      </c>
      <c r="E349" s="46">
        <v>46125</v>
      </c>
      <c r="F349" s="26" t="s">
        <v>6222</v>
      </c>
      <c r="G349" s="47" t="s">
        <v>6232</v>
      </c>
      <c r="H349" s="26" t="s">
        <v>6223</v>
      </c>
      <c r="I349" s="47" t="s">
        <v>6232</v>
      </c>
      <c r="J349" s="26" t="s">
        <v>6224</v>
      </c>
      <c r="K349" s="27"/>
      <c r="L349" s="28" t="s">
        <v>6223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5305</v>
      </c>
      <c r="C350" s="44" t="s">
        <v>5306</v>
      </c>
      <c r="D350" s="42" t="s">
        <v>4616</v>
      </c>
      <c r="E350" s="46">
        <v>46125</v>
      </c>
      <c r="F350" s="26" t="s">
        <v>6222</v>
      </c>
      <c r="G350" s="47" t="s">
        <v>6232</v>
      </c>
      <c r="H350" s="26" t="s">
        <v>6223</v>
      </c>
      <c r="I350" s="47" t="s">
        <v>6232</v>
      </c>
      <c r="J350" s="26" t="s">
        <v>6224</v>
      </c>
      <c r="K350" s="27"/>
      <c r="L350" s="28" t="s">
        <v>6223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5307</v>
      </c>
      <c r="C351" s="25" t="s">
        <v>5308</v>
      </c>
      <c r="D351" s="23" t="s">
        <v>4616</v>
      </c>
      <c r="E351" s="46">
        <v>46125</v>
      </c>
      <c r="F351" s="26" t="s">
        <v>6222</v>
      </c>
      <c r="G351" s="47" t="s">
        <v>6232</v>
      </c>
      <c r="H351" s="26" t="s">
        <v>6223</v>
      </c>
      <c r="I351" s="47" t="s">
        <v>6232</v>
      </c>
      <c r="J351" s="26" t="s">
        <v>6224</v>
      </c>
      <c r="K351" s="27"/>
      <c r="L351" s="28" t="s">
        <v>6223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5309</v>
      </c>
      <c r="C352" s="44" t="s">
        <v>5310</v>
      </c>
      <c r="D352" s="42" t="s">
        <v>4616</v>
      </c>
      <c r="E352" s="46">
        <v>46125</v>
      </c>
      <c r="F352" s="26" t="s">
        <v>6222</v>
      </c>
      <c r="G352" s="47" t="s">
        <v>6232</v>
      </c>
      <c r="H352" s="26" t="s">
        <v>6223</v>
      </c>
      <c r="I352" s="47" t="s">
        <v>6232</v>
      </c>
      <c r="J352" s="26" t="s">
        <v>6224</v>
      </c>
      <c r="K352" s="27"/>
      <c r="L352" s="28" t="s">
        <v>6223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5311</v>
      </c>
      <c r="C353" s="25" t="s">
        <v>5312</v>
      </c>
      <c r="D353" s="23" t="s">
        <v>4616</v>
      </c>
      <c r="E353" s="46">
        <v>46125</v>
      </c>
      <c r="F353" s="26" t="s">
        <v>6222</v>
      </c>
      <c r="G353" s="47" t="s">
        <v>6232</v>
      </c>
      <c r="H353" s="26" t="s">
        <v>6223</v>
      </c>
      <c r="I353" s="47" t="s">
        <v>6232</v>
      </c>
      <c r="J353" s="26" t="s">
        <v>6224</v>
      </c>
      <c r="K353" s="27"/>
      <c r="L353" s="28" t="s">
        <v>6223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5313</v>
      </c>
      <c r="C354" s="44" t="s">
        <v>5314</v>
      </c>
      <c r="D354" s="42" t="s">
        <v>4616</v>
      </c>
      <c r="E354" s="46">
        <v>46125</v>
      </c>
      <c r="F354" s="26" t="s">
        <v>6222</v>
      </c>
      <c r="G354" s="47" t="s">
        <v>6232</v>
      </c>
      <c r="H354" s="26" t="s">
        <v>6223</v>
      </c>
      <c r="I354" s="47" t="s">
        <v>6232</v>
      </c>
      <c r="J354" s="26" t="s">
        <v>6224</v>
      </c>
      <c r="K354" s="27"/>
      <c r="L354" s="28" t="s">
        <v>6223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5315</v>
      </c>
      <c r="C355" s="25" t="s">
        <v>5316</v>
      </c>
      <c r="D355" s="23" t="s">
        <v>4616</v>
      </c>
      <c r="E355" s="46">
        <v>46125</v>
      </c>
      <c r="F355" s="26" t="s">
        <v>6222</v>
      </c>
      <c r="G355" s="47" t="s">
        <v>6232</v>
      </c>
      <c r="H355" s="26" t="s">
        <v>6223</v>
      </c>
      <c r="I355" s="47" t="s">
        <v>6232</v>
      </c>
      <c r="J355" s="26" t="s">
        <v>6224</v>
      </c>
      <c r="K355" s="27"/>
      <c r="L355" s="28" t="s">
        <v>6223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5317</v>
      </c>
      <c r="C356" s="44" t="s">
        <v>5318</v>
      </c>
      <c r="D356" s="42" t="s">
        <v>4616</v>
      </c>
      <c r="E356" s="46">
        <v>46125</v>
      </c>
      <c r="F356" s="26" t="s">
        <v>6222</v>
      </c>
      <c r="G356" s="47" t="s">
        <v>6232</v>
      </c>
      <c r="H356" s="26" t="s">
        <v>6223</v>
      </c>
      <c r="I356" s="47" t="s">
        <v>6232</v>
      </c>
      <c r="J356" s="26" t="s">
        <v>6224</v>
      </c>
      <c r="K356" s="27"/>
      <c r="L356" s="28" t="s">
        <v>6223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5319</v>
      </c>
      <c r="C357" s="25" t="s">
        <v>5320</v>
      </c>
      <c r="D357" s="23" t="s">
        <v>4616</v>
      </c>
      <c r="E357" s="46">
        <v>46125</v>
      </c>
      <c r="F357" s="26" t="s">
        <v>6222</v>
      </c>
      <c r="G357" s="47" t="s">
        <v>6232</v>
      </c>
      <c r="H357" s="26" t="s">
        <v>6223</v>
      </c>
      <c r="I357" s="47" t="s">
        <v>6232</v>
      </c>
      <c r="J357" s="26" t="s">
        <v>6224</v>
      </c>
      <c r="K357" s="27"/>
      <c r="L357" s="28" t="s">
        <v>6223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5321</v>
      </c>
      <c r="C358" s="44" t="s">
        <v>5322</v>
      </c>
      <c r="D358" s="42" t="s">
        <v>4616</v>
      </c>
      <c r="E358" s="46">
        <v>46125</v>
      </c>
      <c r="F358" s="26" t="s">
        <v>6222</v>
      </c>
      <c r="G358" s="47" t="s">
        <v>6232</v>
      </c>
      <c r="H358" s="26" t="s">
        <v>6223</v>
      </c>
      <c r="I358" s="47" t="s">
        <v>6232</v>
      </c>
      <c r="J358" s="26" t="s">
        <v>6224</v>
      </c>
      <c r="K358" s="27"/>
      <c r="L358" s="28" t="s">
        <v>6223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5323</v>
      </c>
      <c r="C359" s="25" t="s">
        <v>5324</v>
      </c>
      <c r="D359" s="23" t="s">
        <v>4616</v>
      </c>
      <c r="E359" s="46">
        <v>46125</v>
      </c>
      <c r="F359" s="26" t="s">
        <v>6222</v>
      </c>
      <c r="G359" s="47" t="s">
        <v>6232</v>
      </c>
      <c r="H359" s="26" t="s">
        <v>6223</v>
      </c>
      <c r="I359" s="47" t="s">
        <v>6232</v>
      </c>
      <c r="J359" s="26" t="s">
        <v>6224</v>
      </c>
      <c r="K359" s="27"/>
      <c r="L359" s="28" t="s">
        <v>6223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5325</v>
      </c>
      <c r="C360" s="44" t="s">
        <v>5326</v>
      </c>
      <c r="D360" s="42" t="s">
        <v>4616</v>
      </c>
      <c r="E360" s="46">
        <v>46125</v>
      </c>
      <c r="F360" s="26" t="s">
        <v>6222</v>
      </c>
      <c r="G360" s="47" t="s">
        <v>6232</v>
      </c>
      <c r="H360" s="26" t="s">
        <v>6223</v>
      </c>
      <c r="I360" s="47" t="s">
        <v>6232</v>
      </c>
      <c r="J360" s="26" t="s">
        <v>6224</v>
      </c>
      <c r="K360" s="27"/>
      <c r="L360" s="28" t="s">
        <v>6223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5327</v>
      </c>
      <c r="C361" s="25" t="s">
        <v>5328</v>
      </c>
      <c r="D361" s="23" t="s">
        <v>4616</v>
      </c>
      <c r="E361" s="46">
        <v>46125</v>
      </c>
      <c r="F361" s="26" t="s">
        <v>6222</v>
      </c>
      <c r="G361" s="47" t="s">
        <v>6232</v>
      </c>
      <c r="H361" s="26" t="s">
        <v>6223</v>
      </c>
      <c r="I361" s="47" t="s">
        <v>6232</v>
      </c>
      <c r="J361" s="26" t="s">
        <v>6224</v>
      </c>
      <c r="K361" s="27"/>
      <c r="L361" s="28" t="s">
        <v>6223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5329</v>
      </c>
      <c r="C362" s="44" t="s">
        <v>5330</v>
      </c>
      <c r="D362" s="42" t="s">
        <v>4616</v>
      </c>
      <c r="E362" s="46">
        <v>46125</v>
      </c>
      <c r="F362" s="26" t="s">
        <v>6222</v>
      </c>
      <c r="G362" s="47" t="s">
        <v>6224</v>
      </c>
      <c r="H362" s="26" t="s">
        <v>6223</v>
      </c>
      <c r="I362" s="47" t="s">
        <v>6225</v>
      </c>
      <c r="J362" s="26" t="s">
        <v>6224</v>
      </c>
      <c r="K362" s="27"/>
      <c r="L362" s="28" t="s">
        <v>6223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5331</v>
      </c>
      <c r="C363" s="25" t="s">
        <v>5332</v>
      </c>
      <c r="D363" s="23" t="s">
        <v>5333</v>
      </c>
      <c r="E363" s="46">
        <v>46125</v>
      </c>
      <c r="F363" s="26" t="s">
        <v>6222</v>
      </c>
      <c r="G363" s="47" t="s">
        <v>6223</v>
      </c>
      <c r="H363" s="26" t="s">
        <v>6223</v>
      </c>
      <c r="I363" s="47" t="s">
        <v>6228</v>
      </c>
      <c r="J363" s="26" t="s">
        <v>6223</v>
      </c>
      <c r="K363" s="27"/>
      <c r="L363" s="28" t="s">
        <v>6224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5334</v>
      </c>
      <c r="C364" s="44" t="s">
        <v>5335</v>
      </c>
      <c r="D364" s="42" t="s">
        <v>5333</v>
      </c>
      <c r="E364" s="46">
        <v>46125</v>
      </c>
      <c r="F364" s="26" t="s">
        <v>6222</v>
      </c>
      <c r="G364" s="47" t="s">
        <v>6223</v>
      </c>
      <c r="H364" s="26" t="s">
        <v>6223</v>
      </c>
      <c r="I364" s="47" t="s">
        <v>6228</v>
      </c>
      <c r="J364" s="26" t="s">
        <v>6223</v>
      </c>
      <c r="K364" s="27"/>
      <c r="L364" s="28" t="s">
        <v>6224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5336</v>
      </c>
      <c r="C365" s="25" t="s">
        <v>5337</v>
      </c>
      <c r="D365" s="23" t="s">
        <v>5333</v>
      </c>
      <c r="E365" s="46">
        <v>46125</v>
      </c>
      <c r="F365" s="26" t="s">
        <v>6222</v>
      </c>
      <c r="G365" s="47" t="s">
        <v>6223</v>
      </c>
      <c r="H365" s="26" t="s">
        <v>6223</v>
      </c>
      <c r="I365" s="47" t="s">
        <v>6228</v>
      </c>
      <c r="J365" s="26" t="s">
        <v>6223</v>
      </c>
      <c r="K365" s="27"/>
      <c r="L365" s="28" t="s">
        <v>6224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5338</v>
      </c>
      <c r="C366" s="44" t="s">
        <v>5339</v>
      </c>
      <c r="D366" s="42" t="s">
        <v>5333</v>
      </c>
      <c r="E366" s="46">
        <v>46125</v>
      </c>
      <c r="F366" s="26" t="s">
        <v>6222</v>
      </c>
      <c r="G366" s="47" t="s">
        <v>6223</v>
      </c>
      <c r="H366" s="26" t="s">
        <v>6223</v>
      </c>
      <c r="I366" s="47" t="s">
        <v>6228</v>
      </c>
      <c r="J366" s="26" t="s">
        <v>6223</v>
      </c>
      <c r="K366" s="27"/>
      <c r="L366" s="28" t="s">
        <v>6224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5340</v>
      </c>
      <c r="C367" s="25" t="s">
        <v>5341</v>
      </c>
      <c r="D367" s="23" t="s">
        <v>5333</v>
      </c>
      <c r="E367" s="46">
        <v>46125</v>
      </c>
      <c r="F367" s="26" t="s">
        <v>6222</v>
      </c>
      <c r="G367" s="47" t="s">
        <v>6223</v>
      </c>
      <c r="H367" s="26" t="s">
        <v>6223</v>
      </c>
      <c r="I367" s="47" t="s">
        <v>6228</v>
      </c>
      <c r="J367" s="26" t="s">
        <v>6223</v>
      </c>
      <c r="K367" s="27"/>
      <c r="L367" s="28" t="s">
        <v>6224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5342</v>
      </c>
      <c r="C368" s="44" t="s">
        <v>5343</v>
      </c>
      <c r="D368" s="42" t="s">
        <v>5333</v>
      </c>
      <c r="E368" s="46">
        <v>46125</v>
      </c>
      <c r="F368" s="26" t="s">
        <v>6222</v>
      </c>
      <c r="G368" s="47" t="s">
        <v>6223</v>
      </c>
      <c r="H368" s="26" t="s">
        <v>6223</v>
      </c>
      <c r="I368" s="47" t="s">
        <v>6228</v>
      </c>
      <c r="J368" s="26" t="s">
        <v>6223</v>
      </c>
      <c r="K368" s="27"/>
      <c r="L368" s="28" t="s">
        <v>6224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5344</v>
      </c>
      <c r="C369" s="25" t="s">
        <v>5345</v>
      </c>
      <c r="D369" s="23" t="s">
        <v>5333</v>
      </c>
      <c r="E369" s="46">
        <v>46125</v>
      </c>
      <c r="F369" s="26" t="s">
        <v>6222</v>
      </c>
      <c r="G369" s="47" t="s">
        <v>6223</v>
      </c>
      <c r="H369" s="26" t="s">
        <v>6223</v>
      </c>
      <c r="I369" s="47" t="s">
        <v>6228</v>
      </c>
      <c r="J369" s="26" t="s">
        <v>6223</v>
      </c>
      <c r="K369" s="27"/>
      <c r="L369" s="28" t="s">
        <v>6224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5346</v>
      </c>
      <c r="C370" s="44" t="s">
        <v>5347</v>
      </c>
      <c r="D370" s="42" t="s">
        <v>5333</v>
      </c>
      <c r="E370" s="46">
        <v>46125</v>
      </c>
      <c r="F370" s="26" t="s">
        <v>6222</v>
      </c>
      <c r="G370" s="47" t="s">
        <v>6223</v>
      </c>
      <c r="H370" s="26" t="s">
        <v>6223</v>
      </c>
      <c r="I370" s="47" t="s">
        <v>6228</v>
      </c>
      <c r="J370" s="26" t="s">
        <v>6223</v>
      </c>
      <c r="K370" s="27"/>
      <c r="L370" s="28" t="s">
        <v>6224</v>
      </c>
      <c r="M370" s="29" t="str">
        <f t="shared" si="25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5348</v>
      </c>
      <c r="C371" s="25" t="s">
        <v>5349</v>
      </c>
      <c r="D371" s="23" t="s">
        <v>5333</v>
      </c>
      <c r="E371" s="46">
        <v>46125</v>
      </c>
      <c r="F371" s="26" t="s">
        <v>6222</v>
      </c>
      <c r="G371" s="47" t="s">
        <v>6223</v>
      </c>
      <c r="H371" s="26" t="s">
        <v>6223</v>
      </c>
      <c r="I371" s="47" t="s">
        <v>6228</v>
      </c>
      <c r="J371" s="26" t="s">
        <v>6223</v>
      </c>
      <c r="K371" s="27"/>
      <c r="L371" s="28" t="s">
        <v>6224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5350</v>
      </c>
      <c r="C372" s="44" t="s">
        <v>5351</v>
      </c>
      <c r="D372" s="42" t="s">
        <v>5333</v>
      </c>
      <c r="E372" s="46">
        <v>46125</v>
      </c>
      <c r="F372" s="26" t="s">
        <v>6222</v>
      </c>
      <c r="G372" s="47" t="s">
        <v>6223</v>
      </c>
      <c r="H372" s="26" t="s">
        <v>6223</v>
      </c>
      <c r="I372" s="47" t="s">
        <v>6228</v>
      </c>
      <c r="J372" s="26" t="s">
        <v>6223</v>
      </c>
      <c r="K372" s="27"/>
      <c r="L372" s="28" t="s">
        <v>6224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5352</v>
      </c>
      <c r="C373" s="25" t="s">
        <v>5353</v>
      </c>
      <c r="D373" s="23" t="s">
        <v>5333</v>
      </c>
      <c r="E373" s="46">
        <v>46125</v>
      </c>
      <c r="F373" s="26" t="s">
        <v>6222</v>
      </c>
      <c r="G373" s="47" t="s">
        <v>6223</v>
      </c>
      <c r="H373" s="26" t="s">
        <v>6223</v>
      </c>
      <c r="I373" s="47" t="s">
        <v>6228</v>
      </c>
      <c r="J373" s="26" t="s">
        <v>6223</v>
      </c>
      <c r="K373" s="27"/>
      <c r="L373" s="28" t="s">
        <v>6224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5354</v>
      </c>
      <c r="C374" s="44" t="s">
        <v>5355</v>
      </c>
      <c r="D374" s="42" t="s">
        <v>5333</v>
      </c>
      <c r="E374" s="46">
        <v>46125</v>
      </c>
      <c r="F374" s="26" t="s">
        <v>6222</v>
      </c>
      <c r="G374" s="47" t="s">
        <v>6223</v>
      </c>
      <c r="H374" s="26" t="s">
        <v>6223</v>
      </c>
      <c r="I374" s="47" t="s">
        <v>6228</v>
      </c>
      <c r="J374" s="26" t="s">
        <v>6223</v>
      </c>
      <c r="K374" s="27"/>
      <c r="L374" s="28" t="s">
        <v>6224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5356</v>
      </c>
      <c r="C375" s="25" t="s">
        <v>5357</v>
      </c>
      <c r="D375" s="23" t="s">
        <v>5333</v>
      </c>
      <c r="E375" s="46">
        <v>46125</v>
      </c>
      <c r="F375" s="26" t="s">
        <v>6222</v>
      </c>
      <c r="G375" s="47" t="s">
        <v>6223</v>
      </c>
      <c r="H375" s="26" t="s">
        <v>6223</v>
      </c>
      <c r="I375" s="47" t="s">
        <v>6228</v>
      </c>
      <c r="J375" s="26" t="s">
        <v>6223</v>
      </c>
      <c r="K375" s="27"/>
      <c r="L375" s="28" t="s">
        <v>6224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5358</v>
      </c>
      <c r="C376" s="44" t="s">
        <v>5359</v>
      </c>
      <c r="D376" s="42" t="s">
        <v>5333</v>
      </c>
      <c r="E376" s="46">
        <v>46125</v>
      </c>
      <c r="F376" s="26" t="s">
        <v>6222</v>
      </c>
      <c r="G376" s="47" t="s">
        <v>6223</v>
      </c>
      <c r="H376" s="26" t="s">
        <v>6223</v>
      </c>
      <c r="I376" s="47" t="s">
        <v>6228</v>
      </c>
      <c r="J376" s="26" t="s">
        <v>6223</v>
      </c>
      <c r="K376" s="27"/>
      <c r="L376" s="28" t="s">
        <v>6224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5360</v>
      </c>
      <c r="C377" s="25" t="s">
        <v>5361</v>
      </c>
      <c r="D377" s="23" t="s">
        <v>5333</v>
      </c>
      <c r="E377" s="46">
        <v>46125</v>
      </c>
      <c r="F377" s="26" t="s">
        <v>6222</v>
      </c>
      <c r="G377" s="47" t="s">
        <v>6223</v>
      </c>
      <c r="H377" s="26" t="s">
        <v>6223</v>
      </c>
      <c r="I377" s="47" t="s">
        <v>6228</v>
      </c>
      <c r="J377" s="26" t="s">
        <v>6223</v>
      </c>
      <c r="K377" s="27"/>
      <c r="L377" s="28" t="s">
        <v>6224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5362</v>
      </c>
      <c r="C378" s="44" t="s">
        <v>5363</v>
      </c>
      <c r="D378" s="42" t="s">
        <v>5333</v>
      </c>
      <c r="E378" s="46">
        <v>46125</v>
      </c>
      <c r="F378" s="26" t="s">
        <v>6222</v>
      </c>
      <c r="G378" s="47" t="s">
        <v>6223</v>
      </c>
      <c r="H378" s="26" t="s">
        <v>6223</v>
      </c>
      <c r="I378" s="47" t="s">
        <v>6228</v>
      </c>
      <c r="J378" s="26" t="s">
        <v>6223</v>
      </c>
      <c r="K378" s="27"/>
      <c r="L378" s="28" t="s">
        <v>6224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5364</v>
      </c>
      <c r="C379" s="25" t="s">
        <v>5365</v>
      </c>
      <c r="D379" s="23" t="s">
        <v>5333</v>
      </c>
      <c r="E379" s="46">
        <v>46125</v>
      </c>
      <c r="F379" s="26" t="s">
        <v>6222</v>
      </c>
      <c r="G379" s="47" t="s">
        <v>6223</v>
      </c>
      <c r="H379" s="26" t="s">
        <v>6223</v>
      </c>
      <c r="I379" s="47" t="s">
        <v>6228</v>
      </c>
      <c r="J379" s="26" t="s">
        <v>6223</v>
      </c>
      <c r="K379" s="27"/>
      <c r="L379" s="28" t="s">
        <v>6224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5366</v>
      </c>
      <c r="C380" s="44" t="s">
        <v>5367</v>
      </c>
      <c r="D380" s="42" t="s">
        <v>4196</v>
      </c>
      <c r="E380" s="46">
        <v>46125</v>
      </c>
      <c r="F380" s="26" t="s">
        <v>6222</v>
      </c>
      <c r="G380" s="47" t="s">
        <v>6224</v>
      </c>
      <c r="H380" s="26" t="s">
        <v>6223</v>
      </c>
      <c r="I380" s="47" t="s">
        <v>6225</v>
      </c>
      <c r="J380" s="26" t="s">
        <v>6224</v>
      </c>
      <c r="K380" s="27"/>
      <c r="L380" s="28" t="s">
        <v>6223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5368</v>
      </c>
      <c r="C381" s="25" t="s">
        <v>5369</v>
      </c>
      <c r="D381" s="23" t="s">
        <v>4196</v>
      </c>
      <c r="E381" s="46">
        <v>46125</v>
      </c>
      <c r="F381" s="26" t="s">
        <v>6222</v>
      </c>
      <c r="G381" s="47" t="s">
        <v>6224</v>
      </c>
      <c r="H381" s="26" t="s">
        <v>6223</v>
      </c>
      <c r="I381" s="47" t="s">
        <v>6225</v>
      </c>
      <c r="J381" s="26" t="s">
        <v>6224</v>
      </c>
      <c r="K381" s="27"/>
      <c r="L381" s="28" t="s">
        <v>6223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5370</v>
      </c>
      <c r="C382" s="44" t="s">
        <v>5371</v>
      </c>
      <c r="D382" s="42" t="s">
        <v>4196</v>
      </c>
      <c r="E382" s="46">
        <v>46125</v>
      </c>
      <c r="F382" s="26" t="s">
        <v>6222</v>
      </c>
      <c r="G382" s="47" t="s">
        <v>6224</v>
      </c>
      <c r="H382" s="26" t="s">
        <v>6223</v>
      </c>
      <c r="I382" s="47" t="s">
        <v>6225</v>
      </c>
      <c r="J382" s="26" t="s">
        <v>6224</v>
      </c>
      <c r="K382" s="27"/>
      <c r="L382" s="28" t="s">
        <v>6223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5372</v>
      </c>
      <c r="C383" s="25" t="s">
        <v>5373</v>
      </c>
      <c r="D383" s="23" t="s">
        <v>4196</v>
      </c>
      <c r="E383" s="46">
        <v>46125</v>
      </c>
      <c r="F383" s="26" t="s">
        <v>6222</v>
      </c>
      <c r="G383" s="47" t="s">
        <v>6224</v>
      </c>
      <c r="H383" s="26" t="s">
        <v>6223</v>
      </c>
      <c r="I383" s="47" t="s">
        <v>6225</v>
      </c>
      <c r="J383" s="26" t="s">
        <v>6224</v>
      </c>
      <c r="K383" s="27"/>
      <c r="L383" s="28" t="s">
        <v>6223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5374</v>
      </c>
      <c r="C384" s="44" t="s">
        <v>5375</v>
      </c>
      <c r="D384" s="42" t="s">
        <v>4196</v>
      </c>
      <c r="E384" s="46">
        <v>46125</v>
      </c>
      <c r="F384" s="26" t="s">
        <v>6222</v>
      </c>
      <c r="G384" s="47" t="s">
        <v>6224</v>
      </c>
      <c r="H384" s="26" t="s">
        <v>6223</v>
      </c>
      <c r="I384" s="47" t="s">
        <v>6225</v>
      </c>
      <c r="J384" s="26" t="s">
        <v>6224</v>
      </c>
      <c r="K384" s="27"/>
      <c r="L384" s="28" t="s">
        <v>6223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5376</v>
      </c>
      <c r="C385" s="25" t="s">
        <v>5377</v>
      </c>
      <c r="D385" s="23" t="s">
        <v>4196</v>
      </c>
      <c r="E385" s="46">
        <v>46125</v>
      </c>
      <c r="F385" s="26" t="s">
        <v>6222</v>
      </c>
      <c r="G385" s="47" t="s">
        <v>6224</v>
      </c>
      <c r="H385" s="26" t="s">
        <v>6223</v>
      </c>
      <c r="I385" s="47" t="s">
        <v>6225</v>
      </c>
      <c r="J385" s="26" t="s">
        <v>6224</v>
      </c>
      <c r="K385" s="27"/>
      <c r="L385" s="28" t="s">
        <v>6223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5378</v>
      </c>
      <c r="C386" s="44" t="s">
        <v>5379</v>
      </c>
      <c r="D386" s="42" t="s">
        <v>4196</v>
      </c>
      <c r="E386" s="46">
        <v>46125</v>
      </c>
      <c r="F386" s="26" t="s">
        <v>6222</v>
      </c>
      <c r="G386" s="47" t="s">
        <v>6224</v>
      </c>
      <c r="H386" s="26" t="s">
        <v>6223</v>
      </c>
      <c r="I386" s="47" t="s">
        <v>6225</v>
      </c>
      <c r="J386" s="26" t="s">
        <v>6224</v>
      </c>
      <c r="K386" s="27"/>
      <c r="L386" s="28" t="s">
        <v>6223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5380</v>
      </c>
      <c r="C387" s="25" t="s">
        <v>5381</v>
      </c>
      <c r="D387" s="23" t="s">
        <v>4196</v>
      </c>
      <c r="E387" s="46">
        <v>46125</v>
      </c>
      <c r="F387" s="26" t="s">
        <v>6222</v>
      </c>
      <c r="G387" s="47" t="s">
        <v>6224</v>
      </c>
      <c r="H387" s="26" t="s">
        <v>6223</v>
      </c>
      <c r="I387" s="47" t="s">
        <v>6225</v>
      </c>
      <c r="J387" s="26" t="s">
        <v>6224</v>
      </c>
      <c r="K387" s="27"/>
      <c r="L387" s="28" t="s">
        <v>6223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5382</v>
      </c>
      <c r="C388" s="44" t="s">
        <v>5383</v>
      </c>
      <c r="D388" s="42" t="s">
        <v>4196</v>
      </c>
      <c r="E388" s="46">
        <v>46125</v>
      </c>
      <c r="F388" s="26" t="s">
        <v>6222</v>
      </c>
      <c r="G388" s="47" t="s">
        <v>6224</v>
      </c>
      <c r="H388" s="26" t="s">
        <v>6223</v>
      </c>
      <c r="I388" s="47" t="s">
        <v>6225</v>
      </c>
      <c r="J388" s="26" t="s">
        <v>6224</v>
      </c>
      <c r="K388" s="27"/>
      <c r="L388" s="28" t="s">
        <v>6223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5384</v>
      </c>
      <c r="C389" s="25" t="s">
        <v>5385</v>
      </c>
      <c r="D389" s="23" t="s">
        <v>4196</v>
      </c>
      <c r="E389" s="46">
        <v>46125</v>
      </c>
      <c r="F389" s="26" t="s">
        <v>6222</v>
      </c>
      <c r="G389" s="47" t="s">
        <v>6224</v>
      </c>
      <c r="H389" s="26" t="s">
        <v>6223</v>
      </c>
      <c r="I389" s="47" t="s">
        <v>6225</v>
      </c>
      <c r="J389" s="26" t="s">
        <v>6224</v>
      </c>
      <c r="K389" s="27"/>
      <c r="L389" s="28" t="s">
        <v>6223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5386</v>
      </c>
      <c r="C390" s="44" t="s">
        <v>5387</v>
      </c>
      <c r="D390" s="42" t="s">
        <v>5388</v>
      </c>
      <c r="E390" s="46">
        <v>46125</v>
      </c>
      <c r="F390" s="26" t="s">
        <v>6222</v>
      </c>
      <c r="G390" s="47" t="s">
        <v>6223</v>
      </c>
      <c r="H390" s="26" t="s">
        <v>6223</v>
      </c>
      <c r="I390" s="47" t="s">
        <v>6228</v>
      </c>
      <c r="J390" s="26" t="s">
        <v>6223</v>
      </c>
      <c r="K390" s="27"/>
      <c r="L390" s="28" t="s">
        <v>6224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5389</v>
      </c>
      <c r="C391" s="25" t="s">
        <v>5390</v>
      </c>
      <c r="D391" s="23" t="s">
        <v>5388</v>
      </c>
      <c r="E391" s="46">
        <v>46125</v>
      </c>
      <c r="F391" s="26" t="s">
        <v>6222</v>
      </c>
      <c r="G391" s="47" t="s">
        <v>6223</v>
      </c>
      <c r="H391" s="26" t="s">
        <v>6223</v>
      </c>
      <c r="I391" s="47" t="s">
        <v>6228</v>
      </c>
      <c r="J391" s="26" t="s">
        <v>6223</v>
      </c>
      <c r="K391" s="27"/>
      <c r="L391" s="28" t="s">
        <v>6224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5391</v>
      </c>
      <c r="C392" s="44" t="s">
        <v>5392</v>
      </c>
      <c r="D392" s="42" t="s">
        <v>5388</v>
      </c>
      <c r="E392" s="46">
        <v>46125</v>
      </c>
      <c r="F392" s="26" t="s">
        <v>6222</v>
      </c>
      <c r="G392" s="47" t="s">
        <v>6223</v>
      </c>
      <c r="H392" s="26" t="s">
        <v>6223</v>
      </c>
      <c r="I392" s="47" t="s">
        <v>6228</v>
      </c>
      <c r="J392" s="26" t="s">
        <v>6223</v>
      </c>
      <c r="K392" s="27"/>
      <c r="L392" s="28" t="s">
        <v>6224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5393</v>
      </c>
      <c r="C393" s="25" t="s">
        <v>5394</v>
      </c>
      <c r="D393" s="23" t="s">
        <v>5388</v>
      </c>
      <c r="E393" s="46">
        <v>46125</v>
      </c>
      <c r="F393" s="26" t="s">
        <v>6222</v>
      </c>
      <c r="G393" s="47" t="s">
        <v>6223</v>
      </c>
      <c r="H393" s="26" t="s">
        <v>6223</v>
      </c>
      <c r="I393" s="47" t="s">
        <v>6228</v>
      </c>
      <c r="J393" s="26" t="s">
        <v>6223</v>
      </c>
      <c r="K393" s="27"/>
      <c r="L393" s="28" t="s">
        <v>6224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5395</v>
      </c>
      <c r="C394" s="44" t="s">
        <v>5396</v>
      </c>
      <c r="D394" s="42" t="s">
        <v>5388</v>
      </c>
      <c r="E394" s="46">
        <v>46125</v>
      </c>
      <c r="F394" s="26" t="s">
        <v>6222</v>
      </c>
      <c r="G394" s="47" t="s">
        <v>6223</v>
      </c>
      <c r="H394" s="26" t="s">
        <v>6223</v>
      </c>
      <c r="I394" s="47" t="s">
        <v>6228</v>
      </c>
      <c r="J394" s="26" t="s">
        <v>6223</v>
      </c>
      <c r="K394" s="27"/>
      <c r="L394" s="28" t="s">
        <v>6224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5397</v>
      </c>
      <c r="C395" s="25" t="s">
        <v>5398</v>
      </c>
      <c r="D395" s="23" t="s">
        <v>5388</v>
      </c>
      <c r="E395" s="46">
        <v>46125</v>
      </c>
      <c r="F395" s="26" t="s">
        <v>6222</v>
      </c>
      <c r="G395" s="47" t="s">
        <v>6223</v>
      </c>
      <c r="H395" s="26" t="s">
        <v>6223</v>
      </c>
      <c r="I395" s="47" t="s">
        <v>6228</v>
      </c>
      <c r="J395" s="26" t="s">
        <v>6223</v>
      </c>
      <c r="K395" s="27"/>
      <c r="L395" s="28" t="s">
        <v>6224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5399</v>
      </c>
      <c r="C396" s="44" t="s">
        <v>5400</v>
      </c>
      <c r="D396" s="42" t="s">
        <v>5388</v>
      </c>
      <c r="E396" s="46">
        <v>46125</v>
      </c>
      <c r="F396" s="26" t="s">
        <v>6222</v>
      </c>
      <c r="G396" s="47" t="s">
        <v>6223</v>
      </c>
      <c r="H396" s="26" t="s">
        <v>6223</v>
      </c>
      <c r="I396" s="47" t="s">
        <v>6228</v>
      </c>
      <c r="J396" s="26" t="s">
        <v>6223</v>
      </c>
      <c r="K396" s="27"/>
      <c r="L396" s="28" t="s">
        <v>6224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5401</v>
      </c>
      <c r="C397" s="25" t="s">
        <v>5402</v>
      </c>
      <c r="D397" s="23" t="s">
        <v>5388</v>
      </c>
      <c r="E397" s="46">
        <v>46125</v>
      </c>
      <c r="F397" s="26" t="s">
        <v>6222</v>
      </c>
      <c r="G397" s="47" t="s">
        <v>6223</v>
      </c>
      <c r="H397" s="26" t="s">
        <v>6223</v>
      </c>
      <c r="I397" s="47" t="s">
        <v>6228</v>
      </c>
      <c r="J397" s="26" t="s">
        <v>6223</v>
      </c>
      <c r="K397" s="27"/>
      <c r="L397" s="28" t="s">
        <v>6224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5403</v>
      </c>
      <c r="C398" s="44" t="s">
        <v>5404</v>
      </c>
      <c r="D398" s="42" t="s">
        <v>5388</v>
      </c>
      <c r="E398" s="46">
        <v>46125</v>
      </c>
      <c r="F398" s="26" t="s">
        <v>6222</v>
      </c>
      <c r="G398" s="47" t="s">
        <v>6223</v>
      </c>
      <c r="H398" s="26" t="s">
        <v>6223</v>
      </c>
      <c r="I398" s="47" t="s">
        <v>6228</v>
      </c>
      <c r="J398" s="26" t="s">
        <v>6223</v>
      </c>
      <c r="K398" s="27"/>
      <c r="L398" s="28" t="s">
        <v>6224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5405</v>
      </c>
      <c r="C399" s="25" t="s">
        <v>5406</v>
      </c>
      <c r="D399" s="23" t="s">
        <v>5388</v>
      </c>
      <c r="E399" s="46">
        <v>46125</v>
      </c>
      <c r="F399" s="26" t="s">
        <v>6222</v>
      </c>
      <c r="G399" s="47" t="s">
        <v>6223</v>
      </c>
      <c r="H399" s="26" t="s">
        <v>6223</v>
      </c>
      <c r="I399" s="47" t="s">
        <v>6228</v>
      </c>
      <c r="J399" s="26" t="s">
        <v>6223</v>
      </c>
      <c r="K399" s="27"/>
      <c r="L399" s="28" t="s">
        <v>6224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5407</v>
      </c>
      <c r="C400" s="44" t="s">
        <v>5408</v>
      </c>
      <c r="D400" s="42" t="s">
        <v>5388</v>
      </c>
      <c r="E400" s="46">
        <v>46125</v>
      </c>
      <c r="F400" s="26" t="s">
        <v>6222</v>
      </c>
      <c r="G400" s="47" t="s">
        <v>6223</v>
      </c>
      <c r="H400" s="26" t="s">
        <v>6223</v>
      </c>
      <c r="I400" s="47" t="s">
        <v>6228</v>
      </c>
      <c r="J400" s="26" t="s">
        <v>6223</v>
      </c>
      <c r="K400" s="27"/>
      <c r="L400" s="28" t="s">
        <v>6224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5409</v>
      </c>
      <c r="C401" s="25" t="s">
        <v>5410</v>
      </c>
      <c r="D401" s="23" t="s">
        <v>5388</v>
      </c>
      <c r="E401" s="46">
        <v>46125</v>
      </c>
      <c r="F401" s="26" t="s">
        <v>6222</v>
      </c>
      <c r="G401" s="47" t="s">
        <v>6223</v>
      </c>
      <c r="H401" s="26" t="s">
        <v>6223</v>
      </c>
      <c r="I401" s="47" t="s">
        <v>6228</v>
      </c>
      <c r="J401" s="26" t="s">
        <v>6223</v>
      </c>
      <c r="K401" s="27"/>
      <c r="L401" s="28" t="s">
        <v>6224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5411</v>
      </c>
      <c r="C402" s="44" t="s">
        <v>5412</v>
      </c>
      <c r="D402" s="42" t="s">
        <v>5388</v>
      </c>
      <c r="E402" s="46">
        <v>46125</v>
      </c>
      <c r="F402" s="26" t="s">
        <v>6222</v>
      </c>
      <c r="G402" s="47" t="s">
        <v>6223</v>
      </c>
      <c r="H402" s="26" t="s">
        <v>6223</v>
      </c>
      <c r="I402" s="47" t="s">
        <v>6228</v>
      </c>
      <c r="J402" s="26" t="s">
        <v>6223</v>
      </c>
      <c r="K402" s="27"/>
      <c r="L402" s="28" t="s">
        <v>6224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5413</v>
      </c>
      <c r="C403" s="25" t="s">
        <v>5414</v>
      </c>
      <c r="D403" s="23" t="s">
        <v>5388</v>
      </c>
      <c r="E403" s="46">
        <v>46125</v>
      </c>
      <c r="F403" s="26" t="s">
        <v>6222</v>
      </c>
      <c r="G403" s="47" t="s">
        <v>6223</v>
      </c>
      <c r="H403" s="26" t="s">
        <v>6223</v>
      </c>
      <c r="I403" s="47" t="s">
        <v>6228</v>
      </c>
      <c r="J403" s="26" t="s">
        <v>6223</v>
      </c>
      <c r="K403" s="27"/>
      <c r="L403" s="28" t="s">
        <v>6224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5415</v>
      </c>
      <c r="C404" s="44" t="s">
        <v>5416</v>
      </c>
      <c r="D404" s="42" t="s">
        <v>5388</v>
      </c>
      <c r="E404" s="46">
        <v>46125</v>
      </c>
      <c r="F404" s="26" t="s">
        <v>6222</v>
      </c>
      <c r="G404" s="47" t="s">
        <v>6223</v>
      </c>
      <c r="H404" s="26" t="s">
        <v>6223</v>
      </c>
      <c r="I404" s="47" t="s">
        <v>6228</v>
      </c>
      <c r="J404" s="26" t="s">
        <v>6223</v>
      </c>
      <c r="K404" s="27"/>
      <c r="L404" s="28" t="s">
        <v>6224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5417</v>
      </c>
      <c r="C405" s="25" t="s">
        <v>5418</v>
      </c>
      <c r="D405" s="23" t="s">
        <v>5388</v>
      </c>
      <c r="E405" s="46">
        <v>46125</v>
      </c>
      <c r="F405" s="26" t="s">
        <v>6222</v>
      </c>
      <c r="G405" s="47" t="s">
        <v>6223</v>
      </c>
      <c r="H405" s="26" t="s">
        <v>6223</v>
      </c>
      <c r="I405" s="47" t="s">
        <v>6228</v>
      </c>
      <c r="J405" s="26" t="s">
        <v>6223</v>
      </c>
      <c r="K405" s="27"/>
      <c r="L405" s="28" t="s">
        <v>6224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5419</v>
      </c>
      <c r="C406" s="44" t="s">
        <v>5420</v>
      </c>
      <c r="D406" s="42" t="s">
        <v>5388</v>
      </c>
      <c r="E406" s="46">
        <v>46125</v>
      </c>
      <c r="F406" s="26" t="s">
        <v>6222</v>
      </c>
      <c r="G406" s="47" t="s">
        <v>6223</v>
      </c>
      <c r="H406" s="26" t="s">
        <v>6223</v>
      </c>
      <c r="I406" s="47" t="s">
        <v>6228</v>
      </c>
      <c r="J406" s="26" t="s">
        <v>6223</v>
      </c>
      <c r="K406" s="27"/>
      <c r="L406" s="28" t="s">
        <v>6224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5421</v>
      </c>
      <c r="C407" s="25" t="s">
        <v>5422</v>
      </c>
      <c r="D407" s="23" t="s">
        <v>5388</v>
      </c>
      <c r="E407" s="46">
        <v>46125</v>
      </c>
      <c r="F407" s="26" t="s">
        <v>6222</v>
      </c>
      <c r="G407" s="47" t="s">
        <v>6223</v>
      </c>
      <c r="H407" s="26" t="s">
        <v>6223</v>
      </c>
      <c r="I407" s="47" t="s">
        <v>6228</v>
      </c>
      <c r="J407" s="26" t="s">
        <v>6223</v>
      </c>
      <c r="K407" s="27"/>
      <c r="L407" s="28" t="s">
        <v>6224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5423</v>
      </c>
      <c r="C408" s="44" t="s">
        <v>5424</v>
      </c>
      <c r="D408" s="42" t="s">
        <v>5388</v>
      </c>
      <c r="E408" s="46">
        <v>46125</v>
      </c>
      <c r="F408" s="26" t="s">
        <v>6222</v>
      </c>
      <c r="G408" s="47" t="s">
        <v>6223</v>
      </c>
      <c r="H408" s="26" t="s">
        <v>6223</v>
      </c>
      <c r="I408" s="47" t="s">
        <v>6228</v>
      </c>
      <c r="J408" s="26" t="s">
        <v>6223</v>
      </c>
      <c r="K408" s="27"/>
      <c r="L408" s="28" t="s">
        <v>6224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5425</v>
      </c>
      <c r="C409" s="25" t="s">
        <v>5426</v>
      </c>
      <c r="D409" s="23" t="s">
        <v>5388</v>
      </c>
      <c r="E409" s="46">
        <v>46125</v>
      </c>
      <c r="F409" s="26" t="s">
        <v>6222</v>
      </c>
      <c r="G409" s="47" t="s">
        <v>6223</v>
      </c>
      <c r="H409" s="26" t="s">
        <v>6223</v>
      </c>
      <c r="I409" s="47" t="s">
        <v>6228</v>
      </c>
      <c r="J409" s="26" t="s">
        <v>6223</v>
      </c>
      <c r="K409" s="27"/>
      <c r="L409" s="28" t="s">
        <v>6224</v>
      </c>
      <c r="M409" s="29" t="str">
        <f t="shared" si="30"/>
        <v>⚠ Missing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5427</v>
      </c>
      <c r="C410" s="44" t="s">
        <v>5428</v>
      </c>
      <c r="D410" s="42" t="s">
        <v>5388</v>
      </c>
      <c r="E410" s="46">
        <v>46125</v>
      </c>
      <c r="F410" s="26" t="s">
        <v>6222</v>
      </c>
      <c r="G410" s="47" t="s">
        <v>6223</v>
      </c>
      <c r="H410" s="26" t="s">
        <v>6223</v>
      </c>
      <c r="I410" s="47" t="s">
        <v>6228</v>
      </c>
      <c r="J410" s="26" t="s">
        <v>6223</v>
      </c>
      <c r="K410" s="27"/>
      <c r="L410" s="28" t="s">
        <v>6224</v>
      </c>
      <c r="M410" s="29" t="str">
        <f t="shared" si="30"/>
        <v>⚠ Missing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5429</v>
      </c>
      <c r="C411" s="25" t="s">
        <v>5430</v>
      </c>
      <c r="D411" s="23" t="s">
        <v>5388</v>
      </c>
      <c r="E411" s="46">
        <v>46125</v>
      </c>
      <c r="F411" s="26" t="s">
        <v>6222</v>
      </c>
      <c r="G411" s="47" t="s">
        <v>6223</v>
      </c>
      <c r="H411" s="26" t="s">
        <v>6223</v>
      </c>
      <c r="I411" s="47" t="s">
        <v>6228</v>
      </c>
      <c r="J411" s="26" t="s">
        <v>6223</v>
      </c>
      <c r="K411" s="27"/>
      <c r="L411" s="28" t="s">
        <v>6224</v>
      </c>
      <c r="M411" s="29" t="str">
        <f t="shared" si="30"/>
        <v>⚠ Missing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5431</v>
      </c>
      <c r="C412" s="44" t="s">
        <v>5432</v>
      </c>
      <c r="D412" s="42" t="s">
        <v>5388</v>
      </c>
      <c r="E412" s="46">
        <v>46125</v>
      </c>
      <c r="F412" s="26" t="s">
        <v>6222</v>
      </c>
      <c r="G412" s="47" t="s">
        <v>6223</v>
      </c>
      <c r="H412" s="26" t="s">
        <v>6223</v>
      </c>
      <c r="I412" s="47" t="s">
        <v>6228</v>
      </c>
      <c r="J412" s="26" t="s">
        <v>6223</v>
      </c>
      <c r="K412" s="27"/>
      <c r="L412" s="28" t="s">
        <v>6224</v>
      </c>
      <c r="M412" s="29" t="str">
        <f t="shared" si="30"/>
        <v>⚠ Missing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5433</v>
      </c>
      <c r="C413" s="25" t="s">
        <v>5434</v>
      </c>
      <c r="D413" s="23" t="s">
        <v>5388</v>
      </c>
      <c r="E413" s="46">
        <v>46125</v>
      </c>
      <c r="F413" s="26" t="s">
        <v>6222</v>
      </c>
      <c r="G413" s="47" t="s">
        <v>6223</v>
      </c>
      <c r="H413" s="26" t="s">
        <v>6223</v>
      </c>
      <c r="I413" s="47" t="s">
        <v>6228</v>
      </c>
      <c r="J413" s="26" t="s">
        <v>6223</v>
      </c>
      <c r="K413" s="27"/>
      <c r="L413" s="28" t="s">
        <v>6224</v>
      </c>
      <c r="M413" s="29" t="str">
        <f t="shared" si="30"/>
        <v>⚠ Missing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5435</v>
      </c>
      <c r="C414" s="44" t="s">
        <v>5436</v>
      </c>
      <c r="D414" s="42" t="s">
        <v>5388</v>
      </c>
      <c r="E414" s="46">
        <v>46125</v>
      </c>
      <c r="F414" s="26" t="s">
        <v>6222</v>
      </c>
      <c r="G414" s="47" t="s">
        <v>6223</v>
      </c>
      <c r="H414" s="26" t="s">
        <v>6223</v>
      </c>
      <c r="I414" s="47" t="s">
        <v>6228</v>
      </c>
      <c r="J414" s="26" t="s">
        <v>6223</v>
      </c>
      <c r="K414" s="27"/>
      <c r="L414" s="28" t="s">
        <v>6224</v>
      </c>
      <c r="M414" s="29" t="str">
        <f t="shared" si="30"/>
        <v>⚠ Missing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5437</v>
      </c>
      <c r="C415" s="25" t="s">
        <v>5438</v>
      </c>
      <c r="D415" s="23" t="s">
        <v>5388</v>
      </c>
      <c r="E415" s="46">
        <v>46125</v>
      </c>
      <c r="F415" s="26" t="s">
        <v>6222</v>
      </c>
      <c r="G415" s="47" t="s">
        <v>6223</v>
      </c>
      <c r="H415" s="26" t="s">
        <v>6223</v>
      </c>
      <c r="I415" s="47" t="s">
        <v>6228</v>
      </c>
      <c r="J415" s="26" t="s">
        <v>6223</v>
      </c>
      <c r="K415" s="27"/>
      <c r="L415" s="28" t="s">
        <v>6224</v>
      </c>
      <c r="M415" s="29" t="str">
        <f t="shared" si="30"/>
        <v>⚠ Missing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5439</v>
      </c>
      <c r="C416" s="44" t="s">
        <v>5440</v>
      </c>
      <c r="D416" s="42" t="s">
        <v>5388</v>
      </c>
      <c r="E416" s="46">
        <v>46125</v>
      </c>
      <c r="F416" s="26" t="s">
        <v>6222</v>
      </c>
      <c r="G416" s="47" t="s">
        <v>6223</v>
      </c>
      <c r="H416" s="26" t="s">
        <v>6223</v>
      </c>
      <c r="I416" s="47" t="s">
        <v>6228</v>
      </c>
      <c r="J416" s="26" t="s">
        <v>6223</v>
      </c>
      <c r="K416" s="27"/>
      <c r="L416" s="28" t="s">
        <v>6224</v>
      </c>
      <c r="M416" s="29" t="str">
        <f t="shared" si="30"/>
        <v>⚠ Missing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5441</v>
      </c>
      <c r="C417" s="25" t="s">
        <v>5442</v>
      </c>
      <c r="D417" s="23" t="s">
        <v>5388</v>
      </c>
      <c r="E417" s="46">
        <v>46125</v>
      </c>
      <c r="F417" s="26" t="s">
        <v>6222</v>
      </c>
      <c r="G417" s="47" t="s">
        <v>6223</v>
      </c>
      <c r="H417" s="26" t="s">
        <v>6223</v>
      </c>
      <c r="I417" s="47" t="s">
        <v>6228</v>
      </c>
      <c r="J417" s="26" t="s">
        <v>6223</v>
      </c>
      <c r="K417" s="27"/>
      <c r="L417" s="28" t="s">
        <v>6224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5443</v>
      </c>
      <c r="C418" s="44" t="s">
        <v>5444</v>
      </c>
      <c r="D418" s="42" t="s">
        <v>5388</v>
      </c>
      <c r="E418" s="46">
        <v>46125</v>
      </c>
      <c r="F418" s="26" t="s">
        <v>6222</v>
      </c>
      <c r="G418" s="47" t="s">
        <v>6223</v>
      </c>
      <c r="H418" s="26" t="s">
        <v>6223</v>
      </c>
      <c r="I418" s="47" t="s">
        <v>6228</v>
      </c>
      <c r="J418" s="26" t="s">
        <v>6223</v>
      </c>
      <c r="K418" s="27"/>
      <c r="L418" s="28" t="s">
        <v>6224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5445</v>
      </c>
      <c r="C419" s="25" t="s">
        <v>5446</v>
      </c>
      <c r="D419" s="23" t="s">
        <v>5388</v>
      </c>
      <c r="E419" s="46">
        <v>46125</v>
      </c>
      <c r="F419" s="26" t="s">
        <v>6222</v>
      </c>
      <c r="G419" s="47" t="s">
        <v>6223</v>
      </c>
      <c r="H419" s="26" t="s">
        <v>6223</v>
      </c>
      <c r="I419" s="47" t="s">
        <v>6228</v>
      </c>
      <c r="J419" s="26" t="s">
        <v>6223</v>
      </c>
      <c r="K419" s="27"/>
      <c r="L419" s="28" t="s">
        <v>6224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5447</v>
      </c>
      <c r="C420" s="44" t="s">
        <v>5448</v>
      </c>
      <c r="D420" s="42" t="s">
        <v>5388</v>
      </c>
      <c r="E420" s="46">
        <v>46125</v>
      </c>
      <c r="F420" s="26" t="s">
        <v>6222</v>
      </c>
      <c r="G420" s="47" t="s">
        <v>6223</v>
      </c>
      <c r="H420" s="26" t="s">
        <v>6223</v>
      </c>
      <c r="I420" s="47" t="s">
        <v>6228</v>
      </c>
      <c r="J420" s="26" t="s">
        <v>6223</v>
      </c>
      <c r="K420" s="27"/>
      <c r="L420" s="28" t="s">
        <v>6224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5449</v>
      </c>
      <c r="C421" s="25" t="s">
        <v>5450</v>
      </c>
      <c r="D421" s="23" t="s">
        <v>693</v>
      </c>
      <c r="E421" s="46">
        <v>46125</v>
      </c>
      <c r="F421" s="26" t="s">
        <v>6222</v>
      </c>
      <c r="G421" s="47" t="s">
        <v>6224</v>
      </c>
      <c r="H421" s="26" t="s">
        <v>6223</v>
      </c>
      <c r="I421" s="47" t="s">
        <v>6225</v>
      </c>
      <c r="J421" s="26" t="s">
        <v>6224</v>
      </c>
      <c r="K421" s="27"/>
      <c r="L421" s="28" t="s">
        <v>6223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5451</v>
      </c>
      <c r="C422" s="44" t="s">
        <v>5452</v>
      </c>
      <c r="D422" s="42" t="s">
        <v>693</v>
      </c>
      <c r="E422" s="46">
        <v>46125</v>
      </c>
      <c r="F422" s="26" t="s">
        <v>6222</v>
      </c>
      <c r="G422" s="47" t="s">
        <v>6224</v>
      </c>
      <c r="H422" s="26" t="s">
        <v>6223</v>
      </c>
      <c r="I422" s="47" t="s">
        <v>6225</v>
      </c>
      <c r="J422" s="26" t="s">
        <v>6224</v>
      </c>
      <c r="K422" s="27"/>
      <c r="L422" s="28" t="s">
        <v>6223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5453</v>
      </c>
      <c r="C423" s="25" t="s">
        <v>5454</v>
      </c>
      <c r="D423" s="23" t="s">
        <v>693</v>
      </c>
      <c r="E423" s="46">
        <v>46125</v>
      </c>
      <c r="F423" s="26" t="s">
        <v>6222</v>
      </c>
      <c r="G423" s="47" t="s">
        <v>6224</v>
      </c>
      <c r="H423" s="26" t="s">
        <v>6223</v>
      </c>
      <c r="I423" s="47" t="s">
        <v>6225</v>
      </c>
      <c r="J423" s="26" t="s">
        <v>6224</v>
      </c>
      <c r="K423" s="27"/>
      <c r="L423" s="28" t="s">
        <v>6223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5455</v>
      </c>
      <c r="C424" s="44" t="s">
        <v>5456</v>
      </c>
      <c r="D424" s="42" t="s">
        <v>693</v>
      </c>
      <c r="E424" s="46">
        <v>46125</v>
      </c>
      <c r="F424" s="26" t="s">
        <v>6222</v>
      </c>
      <c r="G424" s="47" t="s">
        <v>6224</v>
      </c>
      <c r="H424" s="26" t="s">
        <v>6223</v>
      </c>
      <c r="I424" s="47" t="s">
        <v>6225</v>
      </c>
      <c r="J424" s="26" t="s">
        <v>6224</v>
      </c>
      <c r="K424" s="27"/>
      <c r="L424" s="28" t="s">
        <v>6223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5457</v>
      </c>
      <c r="C425" s="25" t="s">
        <v>5458</v>
      </c>
      <c r="D425" s="23" t="s">
        <v>693</v>
      </c>
      <c r="E425" s="46">
        <v>46125</v>
      </c>
      <c r="F425" s="26" t="s">
        <v>6222</v>
      </c>
      <c r="G425" s="47" t="s">
        <v>6232</v>
      </c>
      <c r="H425" s="26" t="s">
        <v>6223</v>
      </c>
      <c r="I425" s="47" t="s">
        <v>6232</v>
      </c>
      <c r="J425" s="26" t="s">
        <v>6224</v>
      </c>
      <c r="K425" s="27"/>
      <c r="L425" s="28" t="s">
        <v>6223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5459</v>
      </c>
      <c r="C426" s="44" t="s">
        <v>5460</v>
      </c>
      <c r="D426" s="42" t="s">
        <v>693</v>
      </c>
      <c r="E426" s="46">
        <v>46125</v>
      </c>
      <c r="F426" s="26" t="s">
        <v>6222</v>
      </c>
      <c r="G426" s="47" t="s">
        <v>6232</v>
      </c>
      <c r="H426" s="26" t="s">
        <v>6223</v>
      </c>
      <c r="I426" s="47" t="s">
        <v>6232</v>
      </c>
      <c r="J426" s="26" t="s">
        <v>6224</v>
      </c>
      <c r="K426" s="27"/>
      <c r="L426" s="28" t="s">
        <v>6223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5461</v>
      </c>
      <c r="C427" s="25" t="s">
        <v>5462</v>
      </c>
      <c r="D427" s="23" t="s">
        <v>693</v>
      </c>
      <c r="E427" s="46">
        <v>46125</v>
      </c>
      <c r="F427" s="26" t="s">
        <v>6222</v>
      </c>
      <c r="G427" s="47" t="s">
        <v>6232</v>
      </c>
      <c r="H427" s="26" t="s">
        <v>6223</v>
      </c>
      <c r="I427" s="47" t="s">
        <v>6232</v>
      </c>
      <c r="J427" s="26" t="s">
        <v>6224</v>
      </c>
      <c r="K427" s="27"/>
      <c r="L427" s="28" t="s">
        <v>6223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5463</v>
      </c>
      <c r="C428" s="44" t="s">
        <v>5464</v>
      </c>
      <c r="D428" s="42" t="s">
        <v>693</v>
      </c>
      <c r="E428" s="46">
        <v>46125</v>
      </c>
      <c r="F428" s="26" t="s">
        <v>6222</v>
      </c>
      <c r="G428" s="47" t="s">
        <v>6232</v>
      </c>
      <c r="H428" s="26" t="s">
        <v>6223</v>
      </c>
      <c r="I428" s="47" t="s">
        <v>6232</v>
      </c>
      <c r="J428" s="26" t="s">
        <v>6224</v>
      </c>
      <c r="K428" s="27"/>
      <c r="L428" s="28" t="s">
        <v>6223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5465</v>
      </c>
      <c r="C429" s="25" t="s">
        <v>5466</v>
      </c>
      <c r="D429" s="23" t="s">
        <v>693</v>
      </c>
      <c r="E429" s="46">
        <v>46125</v>
      </c>
      <c r="F429" s="26" t="s">
        <v>6222</v>
      </c>
      <c r="G429" s="47" t="s">
        <v>6232</v>
      </c>
      <c r="H429" s="26" t="s">
        <v>6223</v>
      </c>
      <c r="I429" s="47" t="s">
        <v>6232</v>
      </c>
      <c r="J429" s="26" t="s">
        <v>6224</v>
      </c>
      <c r="K429" s="27"/>
      <c r="L429" s="28" t="s">
        <v>6223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5467</v>
      </c>
      <c r="C430" s="44" t="s">
        <v>5468</v>
      </c>
      <c r="D430" s="42" t="s">
        <v>693</v>
      </c>
      <c r="E430" s="46">
        <v>46125</v>
      </c>
      <c r="F430" s="26" t="s">
        <v>6222</v>
      </c>
      <c r="G430" s="47" t="s">
        <v>6224</v>
      </c>
      <c r="H430" s="26" t="s">
        <v>6223</v>
      </c>
      <c r="I430" s="47" t="s">
        <v>6225</v>
      </c>
      <c r="J430" s="26" t="s">
        <v>6224</v>
      </c>
      <c r="K430" s="27"/>
      <c r="L430" s="28" t="s">
        <v>6223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5469</v>
      </c>
      <c r="C431" s="25" t="s">
        <v>5470</v>
      </c>
      <c r="D431" s="23" t="s">
        <v>693</v>
      </c>
      <c r="E431" s="46">
        <v>46125</v>
      </c>
      <c r="F431" s="26" t="s">
        <v>6222</v>
      </c>
      <c r="G431" s="47" t="s">
        <v>6232</v>
      </c>
      <c r="H431" s="26" t="s">
        <v>6223</v>
      </c>
      <c r="I431" s="47" t="s">
        <v>6232</v>
      </c>
      <c r="J431" s="26" t="s">
        <v>6224</v>
      </c>
      <c r="K431" s="27"/>
      <c r="L431" s="28" t="s">
        <v>6223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5471</v>
      </c>
      <c r="C432" s="44" t="s">
        <v>5472</v>
      </c>
      <c r="D432" s="42" t="s">
        <v>693</v>
      </c>
      <c r="E432" s="46">
        <v>46125</v>
      </c>
      <c r="F432" s="26" t="s">
        <v>6222</v>
      </c>
      <c r="G432" s="47" t="s">
        <v>6232</v>
      </c>
      <c r="H432" s="26" t="s">
        <v>6223</v>
      </c>
      <c r="I432" s="47" t="s">
        <v>6232</v>
      </c>
      <c r="J432" s="26" t="s">
        <v>6224</v>
      </c>
      <c r="K432" s="27"/>
      <c r="L432" s="28" t="s">
        <v>6223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5473</v>
      </c>
      <c r="C433" s="25" t="s">
        <v>5474</v>
      </c>
      <c r="D433" s="23" t="s">
        <v>693</v>
      </c>
      <c r="E433" s="46">
        <v>46125</v>
      </c>
      <c r="F433" s="26" t="s">
        <v>6222</v>
      </c>
      <c r="G433" s="47" t="s">
        <v>6232</v>
      </c>
      <c r="H433" s="26" t="s">
        <v>6223</v>
      </c>
      <c r="I433" s="47" t="s">
        <v>6232</v>
      </c>
      <c r="J433" s="26" t="s">
        <v>6224</v>
      </c>
      <c r="K433" s="27"/>
      <c r="L433" s="28" t="s">
        <v>6223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5475</v>
      </c>
      <c r="C434" s="44" t="s">
        <v>5476</v>
      </c>
      <c r="D434" s="42" t="s">
        <v>693</v>
      </c>
      <c r="E434" s="46">
        <v>46125</v>
      </c>
      <c r="F434" s="26" t="s">
        <v>6222</v>
      </c>
      <c r="G434" s="47" t="s">
        <v>6232</v>
      </c>
      <c r="H434" s="26" t="s">
        <v>6223</v>
      </c>
      <c r="I434" s="47" t="s">
        <v>6232</v>
      </c>
      <c r="J434" s="26" t="s">
        <v>6224</v>
      </c>
      <c r="K434" s="27"/>
      <c r="L434" s="28" t="s">
        <v>6223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5477</v>
      </c>
      <c r="C435" s="25" t="s">
        <v>5478</v>
      </c>
      <c r="D435" s="23" t="s">
        <v>693</v>
      </c>
      <c r="E435" s="46">
        <v>46125</v>
      </c>
      <c r="F435" s="26" t="s">
        <v>6222</v>
      </c>
      <c r="G435" s="47" t="s">
        <v>6232</v>
      </c>
      <c r="H435" s="26" t="s">
        <v>6223</v>
      </c>
      <c r="I435" s="47" t="s">
        <v>6232</v>
      </c>
      <c r="J435" s="26" t="s">
        <v>6224</v>
      </c>
      <c r="K435" s="27"/>
      <c r="L435" s="28" t="s">
        <v>6223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5479</v>
      </c>
      <c r="C436" s="44" t="s">
        <v>5480</v>
      </c>
      <c r="D436" s="42" t="s">
        <v>693</v>
      </c>
      <c r="E436" s="46">
        <v>46125</v>
      </c>
      <c r="F436" s="26" t="s">
        <v>6222</v>
      </c>
      <c r="G436" s="47" t="s">
        <v>6232</v>
      </c>
      <c r="H436" s="26" t="s">
        <v>6223</v>
      </c>
      <c r="I436" s="47" t="s">
        <v>6232</v>
      </c>
      <c r="J436" s="26" t="s">
        <v>6224</v>
      </c>
      <c r="K436" s="27"/>
      <c r="L436" s="28" t="s">
        <v>6223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5481</v>
      </c>
      <c r="C437" s="25" t="s">
        <v>5482</v>
      </c>
      <c r="D437" s="23" t="s">
        <v>693</v>
      </c>
      <c r="E437" s="46">
        <v>46125</v>
      </c>
      <c r="F437" s="26" t="s">
        <v>6222</v>
      </c>
      <c r="G437" s="47" t="s">
        <v>6232</v>
      </c>
      <c r="H437" s="26" t="s">
        <v>6223</v>
      </c>
      <c r="I437" s="47" t="s">
        <v>6232</v>
      </c>
      <c r="J437" s="26" t="s">
        <v>6224</v>
      </c>
      <c r="K437" s="27"/>
      <c r="L437" s="28" t="s">
        <v>6223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5483</v>
      </c>
      <c r="C438" s="44" t="s">
        <v>5484</v>
      </c>
      <c r="D438" s="42" t="s">
        <v>693</v>
      </c>
      <c r="E438" s="46">
        <v>46125</v>
      </c>
      <c r="F438" s="26" t="s">
        <v>6222</v>
      </c>
      <c r="G438" s="47" t="s">
        <v>6224</v>
      </c>
      <c r="H438" s="26" t="s">
        <v>6223</v>
      </c>
      <c r="I438" s="47" t="s">
        <v>6225</v>
      </c>
      <c r="J438" s="26" t="s">
        <v>6224</v>
      </c>
      <c r="K438" s="27"/>
      <c r="L438" s="28" t="s">
        <v>6223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5485</v>
      </c>
      <c r="C439" s="25" t="s">
        <v>5486</v>
      </c>
      <c r="D439" s="23" t="s">
        <v>693</v>
      </c>
      <c r="E439" s="46">
        <v>46125</v>
      </c>
      <c r="F439" s="26" t="s">
        <v>6222</v>
      </c>
      <c r="G439" s="47" t="s">
        <v>6232</v>
      </c>
      <c r="H439" s="26" t="s">
        <v>6223</v>
      </c>
      <c r="I439" s="47" t="s">
        <v>6232</v>
      </c>
      <c r="J439" s="26" t="s">
        <v>6224</v>
      </c>
      <c r="K439" s="27"/>
      <c r="L439" s="28" t="s">
        <v>6223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5487</v>
      </c>
      <c r="C440" s="44" t="s">
        <v>5488</v>
      </c>
      <c r="D440" s="42" t="s">
        <v>693</v>
      </c>
      <c r="E440" s="46">
        <v>46125</v>
      </c>
      <c r="F440" s="26" t="s">
        <v>6222</v>
      </c>
      <c r="G440" s="47" t="s">
        <v>6232</v>
      </c>
      <c r="H440" s="26" t="s">
        <v>6223</v>
      </c>
      <c r="I440" s="47" t="s">
        <v>6232</v>
      </c>
      <c r="J440" s="26" t="s">
        <v>6224</v>
      </c>
      <c r="K440" s="27"/>
      <c r="L440" s="28" t="s">
        <v>6223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5489</v>
      </c>
      <c r="C441" s="25" t="s">
        <v>5490</v>
      </c>
      <c r="D441" s="23" t="s">
        <v>693</v>
      </c>
      <c r="E441" s="46">
        <v>46125</v>
      </c>
      <c r="F441" s="26" t="s">
        <v>6222</v>
      </c>
      <c r="G441" s="47" t="s">
        <v>6232</v>
      </c>
      <c r="H441" s="26" t="s">
        <v>6223</v>
      </c>
      <c r="I441" s="47" t="s">
        <v>6232</v>
      </c>
      <c r="J441" s="26" t="s">
        <v>6224</v>
      </c>
      <c r="K441" s="27"/>
      <c r="L441" s="28" t="s">
        <v>6223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5491</v>
      </c>
      <c r="C442" s="44" t="s">
        <v>5492</v>
      </c>
      <c r="D442" s="42" t="s">
        <v>693</v>
      </c>
      <c r="E442" s="46">
        <v>46125</v>
      </c>
      <c r="F442" s="26" t="s">
        <v>6222</v>
      </c>
      <c r="G442" s="47" t="s">
        <v>6232</v>
      </c>
      <c r="H442" s="26" t="s">
        <v>6223</v>
      </c>
      <c r="I442" s="47" t="s">
        <v>6232</v>
      </c>
      <c r="J442" s="26" t="s">
        <v>6224</v>
      </c>
      <c r="K442" s="27"/>
      <c r="L442" s="28" t="s">
        <v>6223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5493</v>
      </c>
      <c r="C443" s="25" t="s">
        <v>5494</v>
      </c>
      <c r="D443" s="23" t="s">
        <v>693</v>
      </c>
      <c r="E443" s="46">
        <v>46125</v>
      </c>
      <c r="F443" s="26" t="s">
        <v>6222</v>
      </c>
      <c r="G443" s="47" t="s">
        <v>6232</v>
      </c>
      <c r="H443" s="26" t="s">
        <v>6223</v>
      </c>
      <c r="I443" s="47" t="s">
        <v>6232</v>
      </c>
      <c r="J443" s="26" t="s">
        <v>6224</v>
      </c>
      <c r="K443" s="27"/>
      <c r="L443" s="28" t="s">
        <v>6223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5495</v>
      </c>
      <c r="C444" s="44" t="s">
        <v>5496</v>
      </c>
      <c r="D444" s="42" t="s">
        <v>693</v>
      </c>
      <c r="E444" s="46">
        <v>46125</v>
      </c>
      <c r="F444" s="26" t="s">
        <v>6222</v>
      </c>
      <c r="G444" s="47" t="s">
        <v>6224</v>
      </c>
      <c r="H444" s="26" t="s">
        <v>6223</v>
      </c>
      <c r="I444" s="47" t="s">
        <v>6225</v>
      </c>
      <c r="J444" s="26" t="s">
        <v>6224</v>
      </c>
      <c r="K444" s="27"/>
      <c r="L444" s="28" t="s">
        <v>6223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5497</v>
      </c>
      <c r="C445" s="25" t="s">
        <v>5498</v>
      </c>
      <c r="D445" s="23" t="s">
        <v>693</v>
      </c>
      <c r="E445" s="46">
        <v>46125</v>
      </c>
      <c r="F445" s="26" t="s">
        <v>6222</v>
      </c>
      <c r="G445" s="47" t="s">
        <v>6232</v>
      </c>
      <c r="H445" s="26" t="s">
        <v>6223</v>
      </c>
      <c r="I445" s="47" t="s">
        <v>6232</v>
      </c>
      <c r="J445" s="26" t="s">
        <v>6224</v>
      </c>
      <c r="K445" s="27"/>
      <c r="L445" s="28" t="s">
        <v>6223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5499</v>
      </c>
      <c r="C446" s="44" t="s">
        <v>5500</v>
      </c>
      <c r="D446" s="42" t="s">
        <v>693</v>
      </c>
      <c r="E446" s="46">
        <v>46125</v>
      </c>
      <c r="F446" s="26" t="s">
        <v>6222</v>
      </c>
      <c r="G446" s="47" t="s">
        <v>6232</v>
      </c>
      <c r="H446" s="26" t="s">
        <v>6223</v>
      </c>
      <c r="I446" s="47" t="s">
        <v>6232</v>
      </c>
      <c r="J446" s="26" t="s">
        <v>6224</v>
      </c>
      <c r="K446" s="27"/>
      <c r="L446" s="28" t="s">
        <v>6223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5501</v>
      </c>
      <c r="C447" s="25" t="s">
        <v>5502</v>
      </c>
      <c r="D447" s="23" t="s">
        <v>693</v>
      </c>
      <c r="E447" s="46">
        <v>46125</v>
      </c>
      <c r="F447" s="26" t="s">
        <v>6222</v>
      </c>
      <c r="G447" s="47" t="s">
        <v>6232</v>
      </c>
      <c r="H447" s="26" t="s">
        <v>6223</v>
      </c>
      <c r="I447" s="47" t="s">
        <v>6232</v>
      </c>
      <c r="J447" s="26" t="s">
        <v>6224</v>
      </c>
      <c r="K447" s="27"/>
      <c r="L447" s="28" t="s">
        <v>6223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5503</v>
      </c>
      <c r="C448" s="44" t="s">
        <v>5504</v>
      </c>
      <c r="D448" s="42" t="s">
        <v>693</v>
      </c>
      <c r="E448" s="46">
        <v>46125</v>
      </c>
      <c r="F448" s="26" t="s">
        <v>6222</v>
      </c>
      <c r="G448" s="47" t="s">
        <v>6232</v>
      </c>
      <c r="H448" s="26" t="s">
        <v>6223</v>
      </c>
      <c r="I448" s="47" t="s">
        <v>6232</v>
      </c>
      <c r="J448" s="26" t="s">
        <v>6224</v>
      </c>
      <c r="K448" s="27"/>
      <c r="L448" s="28" t="s">
        <v>6223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5505</v>
      </c>
      <c r="C449" s="25" t="s">
        <v>5506</v>
      </c>
      <c r="D449" s="23" t="s">
        <v>693</v>
      </c>
      <c r="E449" s="46">
        <v>46125</v>
      </c>
      <c r="F449" s="26" t="s">
        <v>6222</v>
      </c>
      <c r="G449" s="47" t="s">
        <v>6232</v>
      </c>
      <c r="H449" s="26" t="s">
        <v>6223</v>
      </c>
      <c r="I449" s="47" t="s">
        <v>6232</v>
      </c>
      <c r="J449" s="26" t="s">
        <v>6224</v>
      </c>
      <c r="K449" s="27"/>
      <c r="L449" s="28" t="s">
        <v>6223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5507</v>
      </c>
      <c r="C450" s="44" t="s">
        <v>5508</v>
      </c>
      <c r="D450" s="42" t="s">
        <v>693</v>
      </c>
      <c r="E450" s="46">
        <v>46125</v>
      </c>
      <c r="F450" s="26" t="s">
        <v>6222</v>
      </c>
      <c r="G450" s="47" t="s">
        <v>6232</v>
      </c>
      <c r="H450" s="26" t="s">
        <v>6223</v>
      </c>
      <c r="I450" s="47" t="s">
        <v>6232</v>
      </c>
      <c r="J450" s="26" t="s">
        <v>6224</v>
      </c>
      <c r="K450" s="27"/>
      <c r="L450" s="28" t="s">
        <v>6223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5509</v>
      </c>
      <c r="C451" s="25" t="s">
        <v>5510</v>
      </c>
      <c r="D451" s="23" t="s">
        <v>693</v>
      </c>
      <c r="E451" s="46">
        <v>46125</v>
      </c>
      <c r="F451" s="26" t="s">
        <v>6222</v>
      </c>
      <c r="G451" s="47" t="s">
        <v>6232</v>
      </c>
      <c r="H451" s="26" t="s">
        <v>6223</v>
      </c>
      <c r="I451" s="47" t="s">
        <v>6232</v>
      </c>
      <c r="J451" s="26" t="s">
        <v>6224</v>
      </c>
      <c r="K451" s="27"/>
      <c r="L451" s="28" t="s">
        <v>6223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5511</v>
      </c>
      <c r="C452" s="44" t="s">
        <v>5512</v>
      </c>
      <c r="D452" s="42" t="s">
        <v>5513</v>
      </c>
      <c r="E452" s="46">
        <v>46125</v>
      </c>
      <c r="F452" s="26" t="s">
        <v>6222</v>
      </c>
      <c r="G452" s="47" t="s">
        <v>6223</v>
      </c>
      <c r="H452" s="26" t="s">
        <v>6223</v>
      </c>
      <c r="I452" s="47" t="s">
        <v>6228</v>
      </c>
      <c r="J452" s="26" t="s">
        <v>6223</v>
      </c>
      <c r="K452" s="27"/>
      <c r="L452" s="28" t="s">
        <v>6224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5514</v>
      </c>
      <c r="C453" s="25" t="s">
        <v>5515</v>
      </c>
      <c r="D453" s="23" t="s">
        <v>5513</v>
      </c>
      <c r="E453" s="46">
        <v>46125</v>
      </c>
      <c r="F453" s="26" t="s">
        <v>6222</v>
      </c>
      <c r="G453" s="47" t="s">
        <v>6223</v>
      </c>
      <c r="H453" s="26" t="s">
        <v>6223</v>
      </c>
      <c r="I453" s="47" t="s">
        <v>6228</v>
      </c>
      <c r="J453" s="26" t="s">
        <v>6223</v>
      </c>
      <c r="K453" s="27"/>
      <c r="L453" s="28" t="s">
        <v>6224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5516</v>
      </c>
      <c r="C454" s="44" t="s">
        <v>5517</v>
      </c>
      <c r="D454" s="42" t="s">
        <v>5513</v>
      </c>
      <c r="E454" s="46">
        <v>46125</v>
      </c>
      <c r="F454" s="26" t="s">
        <v>6222</v>
      </c>
      <c r="G454" s="47" t="s">
        <v>6223</v>
      </c>
      <c r="H454" s="26" t="s">
        <v>6223</v>
      </c>
      <c r="I454" s="47" t="s">
        <v>6228</v>
      </c>
      <c r="J454" s="26" t="s">
        <v>6223</v>
      </c>
      <c r="K454" s="27"/>
      <c r="L454" s="28" t="s">
        <v>6224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5518</v>
      </c>
      <c r="C455" s="25" t="s">
        <v>5519</v>
      </c>
      <c r="D455" s="23" t="s">
        <v>5513</v>
      </c>
      <c r="E455" s="46">
        <v>46125</v>
      </c>
      <c r="F455" s="26" t="s">
        <v>6222</v>
      </c>
      <c r="G455" s="47" t="s">
        <v>6223</v>
      </c>
      <c r="H455" s="26" t="s">
        <v>6223</v>
      </c>
      <c r="I455" s="47" t="s">
        <v>6228</v>
      </c>
      <c r="J455" s="26" t="s">
        <v>6223</v>
      </c>
      <c r="K455" s="27"/>
      <c r="L455" s="28" t="s">
        <v>6224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5520</v>
      </c>
      <c r="C456" s="44" t="s">
        <v>5521</v>
      </c>
      <c r="D456" s="42" t="s">
        <v>5513</v>
      </c>
      <c r="E456" s="46">
        <v>46125</v>
      </c>
      <c r="F456" s="26" t="s">
        <v>6222</v>
      </c>
      <c r="G456" s="47" t="s">
        <v>6223</v>
      </c>
      <c r="H456" s="26" t="s">
        <v>6223</v>
      </c>
      <c r="I456" s="47" t="s">
        <v>6228</v>
      </c>
      <c r="J456" s="26" t="s">
        <v>6223</v>
      </c>
      <c r="K456" s="27"/>
      <c r="L456" s="28" t="s">
        <v>6224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5522</v>
      </c>
      <c r="C457" s="25" t="s">
        <v>5523</v>
      </c>
      <c r="D457" s="23" t="s">
        <v>5513</v>
      </c>
      <c r="E457" s="46">
        <v>46125</v>
      </c>
      <c r="F457" s="26" t="s">
        <v>6222</v>
      </c>
      <c r="G457" s="47" t="s">
        <v>6223</v>
      </c>
      <c r="H457" s="26" t="s">
        <v>6223</v>
      </c>
      <c r="I457" s="47" t="s">
        <v>6228</v>
      </c>
      <c r="J457" s="26" t="s">
        <v>6223</v>
      </c>
      <c r="K457" s="27"/>
      <c r="L457" s="28" t="s">
        <v>6224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5524</v>
      </c>
      <c r="C458" s="44" t="s">
        <v>5525</v>
      </c>
      <c r="D458" s="42" t="s">
        <v>5513</v>
      </c>
      <c r="E458" s="46">
        <v>46125</v>
      </c>
      <c r="F458" s="26" t="s">
        <v>6222</v>
      </c>
      <c r="G458" s="47" t="s">
        <v>6223</v>
      </c>
      <c r="H458" s="26" t="s">
        <v>6223</v>
      </c>
      <c r="I458" s="47" t="s">
        <v>6228</v>
      </c>
      <c r="J458" s="26" t="s">
        <v>6223</v>
      </c>
      <c r="K458" s="27"/>
      <c r="L458" s="28" t="s">
        <v>6224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5526</v>
      </c>
      <c r="C459" s="25" t="s">
        <v>5527</v>
      </c>
      <c r="D459" s="23" t="s">
        <v>5513</v>
      </c>
      <c r="E459" s="46">
        <v>46125</v>
      </c>
      <c r="F459" s="26" t="s">
        <v>6222</v>
      </c>
      <c r="G459" s="47" t="s">
        <v>6223</v>
      </c>
      <c r="H459" s="26" t="s">
        <v>6223</v>
      </c>
      <c r="I459" s="47" t="s">
        <v>6228</v>
      </c>
      <c r="J459" s="26" t="s">
        <v>6223</v>
      </c>
      <c r="K459" s="27"/>
      <c r="L459" s="28" t="s">
        <v>6224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5528</v>
      </c>
      <c r="C460" s="44" t="s">
        <v>5529</v>
      </c>
      <c r="D460" s="42" t="s">
        <v>5513</v>
      </c>
      <c r="E460" s="46">
        <v>46125</v>
      </c>
      <c r="F460" s="26" t="s">
        <v>6222</v>
      </c>
      <c r="G460" s="47" t="s">
        <v>6223</v>
      </c>
      <c r="H460" s="26" t="s">
        <v>6223</v>
      </c>
      <c r="I460" s="47" t="s">
        <v>6228</v>
      </c>
      <c r="J460" s="26" t="s">
        <v>6223</v>
      </c>
      <c r="K460" s="27"/>
      <c r="L460" s="28" t="s">
        <v>6224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5530</v>
      </c>
      <c r="C461" s="25" t="s">
        <v>5531</v>
      </c>
      <c r="D461" s="23" t="s">
        <v>5513</v>
      </c>
      <c r="E461" s="46">
        <v>46125</v>
      </c>
      <c r="F461" s="26" t="s">
        <v>6222</v>
      </c>
      <c r="G461" s="47" t="s">
        <v>6223</v>
      </c>
      <c r="H461" s="26" t="s">
        <v>6223</v>
      </c>
      <c r="I461" s="47" t="s">
        <v>6228</v>
      </c>
      <c r="J461" s="26" t="s">
        <v>6223</v>
      </c>
      <c r="K461" s="27"/>
      <c r="L461" s="28" t="s">
        <v>6224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5532</v>
      </c>
      <c r="C462" s="44" t="s">
        <v>5533</v>
      </c>
      <c r="D462" s="42" t="s">
        <v>5513</v>
      </c>
      <c r="E462" s="46">
        <v>46125</v>
      </c>
      <c r="F462" s="26" t="s">
        <v>6222</v>
      </c>
      <c r="G462" s="47" t="s">
        <v>6223</v>
      </c>
      <c r="H462" s="26" t="s">
        <v>6223</v>
      </c>
      <c r="I462" s="47" t="s">
        <v>6228</v>
      </c>
      <c r="J462" s="26" t="s">
        <v>6223</v>
      </c>
      <c r="K462" s="27"/>
      <c r="L462" s="28" t="s">
        <v>6224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5534</v>
      </c>
      <c r="C463" s="25" t="s">
        <v>5535</v>
      </c>
      <c r="D463" s="23" t="s">
        <v>5513</v>
      </c>
      <c r="E463" s="46">
        <v>46125</v>
      </c>
      <c r="F463" s="26" t="s">
        <v>6222</v>
      </c>
      <c r="G463" s="47" t="s">
        <v>6223</v>
      </c>
      <c r="H463" s="26" t="s">
        <v>6223</v>
      </c>
      <c r="I463" s="47" t="s">
        <v>6228</v>
      </c>
      <c r="J463" s="26" t="s">
        <v>6223</v>
      </c>
      <c r="K463" s="27"/>
      <c r="L463" s="28" t="s">
        <v>6224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5536</v>
      </c>
      <c r="C464" s="44" t="s">
        <v>5537</v>
      </c>
      <c r="D464" s="42" t="s">
        <v>5513</v>
      </c>
      <c r="E464" s="46">
        <v>46125</v>
      </c>
      <c r="F464" s="26" t="s">
        <v>6222</v>
      </c>
      <c r="G464" s="47" t="s">
        <v>6223</v>
      </c>
      <c r="H464" s="26" t="s">
        <v>6223</v>
      </c>
      <c r="I464" s="47" t="s">
        <v>6228</v>
      </c>
      <c r="J464" s="26" t="s">
        <v>6223</v>
      </c>
      <c r="K464" s="27"/>
      <c r="L464" s="28" t="s">
        <v>6224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5538</v>
      </c>
      <c r="C465" s="25" t="s">
        <v>5539</v>
      </c>
      <c r="D465" s="23" t="s">
        <v>5513</v>
      </c>
      <c r="E465" s="46">
        <v>46125</v>
      </c>
      <c r="F465" s="26" t="s">
        <v>6222</v>
      </c>
      <c r="G465" s="47" t="s">
        <v>6223</v>
      </c>
      <c r="H465" s="26" t="s">
        <v>6223</v>
      </c>
      <c r="I465" s="47" t="s">
        <v>6228</v>
      </c>
      <c r="J465" s="26" t="s">
        <v>6223</v>
      </c>
      <c r="K465" s="27"/>
      <c r="L465" s="28" t="s">
        <v>6224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5540</v>
      </c>
      <c r="C466" s="44" t="s">
        <v>5541</v>
      </c>
      <c r="D466" s="42" t="s">
        <v>5513</v>
      </c>
      <c r="E466" s="46">
        <v>46125</v>
      </c>
      <c r="F466" s="26" t="s">
        <v>6222</v>
      </c>
      <c r="G466" s="47" t="s">
        <v>6223</v>
      </c>
      <c r="H466" s="26" t="s">
        <v>6223</v>
      </c>
      <c r="I466" s="47" t="s">
        <v>6228</v>
      </c>
      <c r="J466" s="26" t="s">
        <v>6223</v>
      </c>
      <c r="K466" s="27"/>
      <c r="L466" s="28" t="s">
        <v>6224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5542</v>
      </c>
      <c r="C467" s="25" t="s">
        <v>5543</v>
      </c>
      <c r="D467" s="23" t="s">
        <v>5513</v>
      </c>
      <c r="E467" s="46">
        <v>46125</v>
      </c>
      <c r="F467" s="26" t="s">
        <v>6222</v>
      </c>
      <c r="G467" s="47" t="s">
        <v>6223</v>
      </c>
      <c r="H467" s="26" t="s">
        <v>6223</v>
      </c>
      <c r="I467" s="47" t="s">
        <v>6228</v>
      </c>
      <c r="J467" s="26" t="s">
        <v>6223</v>
      </c>
      <c r="K467" s="27"/>
      <c r="L467" s="28" t="s">
        <v>6224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5544</v>
      </c>
      <c r="C468" s="44" t="s">
        <v>5545</v>
      </c>
      <c r="D468" s="42" t="s">
        <v>5513</v>
      </c>
      <c r="E468" s="46">
        <v>46125</v>
      </c>
      <c r="F468" s="26" t="s">
        <v>6222</v>
      </c>
      <c r="G468" s="47" t="s">
        <v>6223</v>
      </c>
      <c r="H468" s="26" t="s">
        <v>6223</v>
      </c>
      <c r="I468" s="47" t="s">
        <v>6228</v>
      </c>
      <c r="J468" s="26" t="s">
        <v>6223</v>
      </c>
      <c r="K468" s="27"/>
      <c r="L468" s="28" t="s">
        <v>6224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5546</v>
      </c>
      <c r="C469" s="25" t="s">
        <v>5547</v>
      </c>
      <c r="D469" s="23" t="s">
        <v>5513</v>
      </c>
      <c r="E469" s="46">
        <v>46125</v>
      </c>
      <c r="F469" s="26" t="s">
        <v>6222</v>
      </c>
      <c r="G469" s="47" t="s">
        <v>6223</v>
      </c>
      <c r="H469" s="26" t="s">
        <v>6223</v>
      </c>
      <c r="I469" s="47" t="s">
        <v>6228</v>
      </c>
      <c r="J469" s="26" t="s">
        <v>6223</v>
      </c>
      <c r="K469" s="27"/>
      <c r="L469" s="28" t="s">
        <v>6224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5548</v>
      </c>
      <c r="C470" s="44" t="s">
        <v>5549</v>
      </c>
      <c r="D470" s="42" t="s">
        <v>5513</v>
      </c>
      <c r="E470" s="46">
        <v>46125</v>
      </c>
      <c r="F470" s="26" t="s">
        <v>6222</v>
      </c>
      <c r="G470" s="47" t="s">
        <v>6223</v>
      </c>
      <c r="H470" s="26" t="s">
        <v>6223</v>
      </c>
      <c r="I470" s="47" t="s">
        <v>6228</v>
      </c>
      <c r="J470" s="26" t="s">
        <v>6223</v>
      </c>
      <c r="K470" s="27"/>
      <c r="L470" s="28" t="s">
        <v>6224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5550</v>
      </c>
      <c r="C471" s="25" t="s">
        <v>5551</v>
      </c>
      <c r="D471" s="23" t="s">
        <v>5513</v>
      </c>
      <c r="E471" s="46">
        <v>46125</v>
      </c>
      <c r="F471" s="26" t="s">
        <v>6222</v>
      </c>
      <c r="G471" s="47" t="s">
        <v>6223</v>
      </c>
      <c r="H471" s="26" t="s">
        <v>6223</v>
      </c>
      <c r="I471" s="47" t="s">
        <v>6228</v>
      </c>
      <c r="J471" s="26" t="s">
        <v>6223</v>
      </c>
      <c r="K471" s="27"/>
      <c r="L471" s="28" t="s">
        <v>6224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5552</v>
      </c>
      <c r="C472" s="44" t="s">
        <v>5553</v>
      </c>
      <c r="D472" s="42" t="s">
        <v>5513</v>
      </c>
      <c r="E472" s="46">
        <v>46125</v>
      </c>
      <c r="F472" s="26" t="s">
        <v>6222</v>
      </c>
      <c r="G472" s="47" t="s">
        <v>6224</v>
      </c>
      <c r="H472" s="26" t="s">
        <v>6223</v>
      </c>
      <c r="I472" s="47" t="s">
        <v>6225</v>
      </c>
      <c r="J472" s="26" t="s">
        <v>6224</v>
      </c>
      <c r="K472" s="27"/>
      <c r="L472" s="28" t="s">
        <v>6223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5554</v>
      </c>
      <c r="C473" s="25" t="s">
        <v>5555</v>
      </c>
      <c r="D473" s="23" t="s">
        <v>5513</v>
      </c>
      <c r="E473" s="46">
        <v>46125</v>
      </c>
      <c r="F473" s="26" t="s">
        <v>6222</v>
      </c>
      <c r="G473" s="47" t="s">
        <v>6232</v>
      </c>
      <c r="H473" s="26" t="s">
        <v>6223</v>
      </c>
      <c r="I473" s="47" t="s">
        <v>6232</v>
      </c>
      <c r="J473" s="26" t="s">
        <v>6224</v>
      </c>
      <c r="K473" s="27"/>
      <c r="L473" s="28" t="s">
        <v>6223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5556</v>
      </c>
      <c r="C474" s="44" t="s">
        <v>5557</v>
      </c>
      <c r="D474" s="42" t="s">
        <v>5513</v>
      </c>
      <c r="E474" s="46">
        <v>46125</v>
      </c>
      <c r="F474" s="26" t="s">
        <v>6222</v>
      </c>
      <c r="G474" s="47" t="s">
        <v>6232</v>
      </c>
      <c r="H474" s="26" t="s">
        <v>6223</v>
      </c>
      <c r="I474" s="47" t="s">
        <v>6232</v>
      </c>
      <c r="J474" s="26" t="s">
        <v>6224</v>
      </c>
      <c r="K474" s="27"/>
      <c r="L474" s="28" t="s">
        <v>6223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5558</v>
      </c>
      <c r="C475" s="25" t="s">
        <v>5559</v>
      </c>
      <c r="D475" s="23" t="s">
        <v>5513</v>
      </c>
      <c r="E475" s="46">
        <v>46125</v>
      </c>
      <c r="F475" s="26" t="s">
        <v>6222</v>
      </c>
      <c r="G475" s="47" t="s">
        <v>6232</v>
      </c>
      <c r="H475" s="26" t="s">
        <v>6223</v>
      </c>
      <c r="I475" s="47" t="s">
        <v>6232</v>
      </c>
      <c r="J475" s="26" t="s">
        <v>6224</v>
      </c>
      <c r="K475" s="27"/>
      <c r="L475" s="28" t="s">
        <v>6223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5560</v>
      </c>
      <c r="C476" s="44" t="s">
        <v>5561</v>
      </c>
      <c r="D476" s="42" t="s">
        <v>5513</v>
      </c>
      <c r="E476" s="46">
        <v>46125</v>
      </c>
      <c r="F476" s="26" t="s">
        <v>6222</v>
      </c>
      <c r="G476" s="47" t="s">
        <v>6224</v>
      </c>
      <c r="H476" s="26" t="s">
        <v>6223</v>
      </c>
      <c r="I476" s="47" t="s">
        <v>6225</v>
      </c>
      <c r="J476" s="26" t="s">
        <v>6224</v>
      </c>
      <c r="K476" s="27"/>
      <c r="L476" s="28" t="s">
        <v>6223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5562</v>
      </c>
      <c r="C477" s="25" t="s">
        <v>5563</v>
      </c>
      <c r="D477" s="23" t="s">
        <v>5513</v>
      </c>
      <c r="E477" s="46">
        <v>46125</v>
      </c>
      <c r="F477" s="26" t="s">
        <v>6222</v>
      </c>
      <c r="G477" s="47" t="s">
        <v>6232</v>
      </c>
      <c r="H477" s="26" t="s">
        <v>6223</v>
      </c>
      <c r="I477" s="47" t="s">
        <v>6232</v>
      </c>
      <c r="J477" s="26" t="s">
        <v>6224</v>
      </c>
      <c r="K477" s="27"/>
      <c r="L477" s="28" t="s">
        <v>6223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5564</v>
      </c>
      <c r="C478" s="44" t="s">
        <v>5565</v>
      </c>
      <c r="D478" s="42" t="s">
        <v>5513</v>
      </c>
      <c r="E478" s="46">
        <v>46125</v>
      </c>
      <c r="F478" s="26" t="s">
        <v>6222</v>
      </c>
      <c r="G478" s="47" t="s">
        <v>6232</v>
      </c>
      <c r="H478" s="26" t="s">
        <v>6223</v>
      </c>
      <c r="I478" s="47" t="s">
        <v>6232</v>
      </c>
      <c r="J478" s="26" t="s">
        <v>6224</v>
      </c>
      <c r="K478" s="27"/>
      <c r="L478" s="28" t="s">
        <v>6223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5566</v>
      </c>
      <c r="C479" s="25" t="s">
        <v>5567</v>
      </c>
      <c r="D479" s="23" t="s">
        <v>5513</v>
      </c>
      <c r="E479" s="46">
        <v>46125</v>
      </c>
      <c r="F479" s="26" t="s">
        <v>6222</v>
      </c>
      <c r="G479" s="47" t="s">
        <v>6232</v>
      </c>
      <c r="H479" s="26" t="s">
        <v>6223</v>
      </c>
      <c r="I479" s="47" t="s">
        <v>6232</v>
      </c>
      <c r="J479" s="26" t="s">
        <v>6224</v>
      </c>
      <c r="K479" s="27"/>
      <c r="L479" s="28" t="s">
        <v>6223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5568</v>
      </c>
      <c r="C480" s="44" t="s">
        <v>5569</v>
      </c>
      <c r="D480" s="42" t="s">
        <v>5513</v>
      </c>
      <c r="E480" s="46">
        <v>46125</v>
      </c>
      <c r="F480" s="26" t="s">
        <v>6222</v>
      </c>
      <c r="G480" s="47" t="s">
        <v>6232</v>
      </c>
      <c r="H480" s="26" t="s">
        <v>6223</v>
      </c>
      <c r="I480" s="47" t="s">
        <v>6232</v>
      </c>
      <c r="J480" s="26" t="s">
        <v>6224</v>
      </c>
      <c r="K480" s="27"/>
      <c r="L480" s="28" t="s">
        <v>6223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5570</v>
      </c>
      <c r="C481" s="25" t="s">
        <v>5571</v>
      </c>
      <c r="D481" s="23" t="s">
        <v>5513</v>
      </c>
      <c r="E481" s="46">
        <v>46125</v>
      </c>
      <c r="F481" s="26" t="s">
        <v>6222</v>
      </c>
      <c r="G481" s="47" t="s">
        <v>6232</v>
      </c>
      <c r="H481" s="26" t="s">
        <v>6223</v>
      </c>
      <c r="I481" s="47" t="s">
        <v>6232</v>
      </c>
      <c r="J481" s="26" t="s">
        <v>6224</v>
      </c>
      <c r="K481" s="27"/>
      <c r="L481" s="28" t="s">
        <v>6223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5572</v>
      </c>
      <c r="C482" s="44" t="s">
        <v>5573</v>
      </c>
      <c r="D482" s="42" t="s">
        <v>5513</v>
      </c>
      <c r="E482" s="46">
        <v>46125</v>
      </c>
      <c r="F482" s="26" t="s">
        <v>6222</v>
      </c>
      <c r="G482" s="47" t="s">
        <v>6232</v>
      </c>
      <c r="H482" s="26" t="s">
        <v>6223</v>
      </c>
      <c r="I482" s="47" t="s">
        <v>6232</v>
      </c>
      <c r="J482" s="26" t="s">
        <v>6224</v>
      </c>
      <c r="K482" s="27"/>
      <c r="L482" s="28" t="s">
        <v>6223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5574</v>
      </c>
      <c r="C483" s="25" t="s">
        <v>5575</v>
      </c>
      <c r="D483" s="23" t="s">
        <v>5513</v>
      </c>
      <c r="E483" s="46">
        <v>46125</v>
      </c>
      <c r="F483" s="26" t="s">
        <v>6222</v>
      </c>
      <c r="G483" s="47" t="s">
        <v>6224</v>
      </c>
      <c r="H483" s="26" t="s">
        <v>6223</v>
      </c>
      <c r="I483" s="47" t="s">
        <v>6225</v>
      </c>
      <c r="J483" s="26" t="s">
        <v>6224</v>
      </c>
      <c r="K483" s="27"/>
      <c r="L483" s="28" t="s">
        <v>6223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5576</v>
      </c>
      <c r="C484" s="44" t="s">
        <v>5577</v>
      </c>
      <c r="D484" s="42" t="s">
        <v>5513</v>
      </c>
      <c r="E484" s="46">
        <v>46125</v>
      </c>
      <c r="F484" s="26" t="s">
        <v>6222</v>
      </c>
      <c r="G484" s="47" t="s">
        <v>6232</v>
      </c>
      <c r="H484" s="26" t="s">
        <v>6223</v>
      </c>
      <c r="I484" s="47" t="s">
        <v>6232</v>
      </c>
      <c r="J484" s="26" t="s">
        <v>6224</v>
      </c>
      <c r="K484" s="27"/>
      <c r="L484" s="28" t="s">
        <v>6223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5578</v>
      </c>
      <c r="C485" s="25" t="s">
        <v>5579</v>
      </c>
      <c r="D485" s="23" t="s">
        <v>5513</v>
      </c>
      <c r="E485" s="46">
        <v>46125</v>
      </c>
      <c r="F485" s="26" t="s">
        <v>6222</v>
      </c>
      <c r="G485" s="47" t="s">
        <v>6232</v>
      </c>
      <c r="H485" s="26" t="s">
        <v>6223</v>
      </c>
      <c r="I485" s="47" t="s">
        <v>6232</v>
      </c>
      <c r="J485" s="26" t="s">
        <v>6224</v>
      </c>
      <c r="K485" s="27"/>
      <c r="L485" s="28" t="s">
        <v>6223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5580</v>
      </c>
      <c r="C486" s="44" t="s">
        <v>5581</v>
      </c>
      <c r="D486" s="42" t="s">
        <v>5513</v>
      </c>
      <c r="E486" s="46">
        <v>46125</v>
      </c>
      <c r="F486" s="26" t="s">
        <v>6222</v>
      </c>
      <c r="G486" s="47" t="s">
        <v>6232</v>
      </c>
      <c r="H486" s="26" t="s">
        <v>6223</v>
      </c>
      <c r="I486" s="47" t="s">
        <v>6232</v>
      </c>
      <c r="J486" s="26" t="s">
        <v>6224</v>
      </c>
      <c r="K486" s="27"/>
      <c r="L486" s="28" t="s">
        <v>6223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5582</v>
      </c>
      <c r="C487" s="25" t="s">
        <v>5583</v>
      </c>
      <c r="D487" s="23" t="s">
        <v>5513</v>
      </c>
      <c r="E487" s="46">
        <v>46125</v>
      </c>
      <c r="F487" s="26" t="s">
        <v>6222</v>
      </c>
      <c r="G487" s="47" t="s">
        <v>6232</v>
      </c>
      <c r="H487" s="26" t="s">
        <v>6223</v>
      </c>
      <c r="I487" s="47" t="s">
        <v>6232</v>
      </c>
      <c r="J487" s="26" t="s">
        <v>6224</v>
      </c>
      <c r="K487" s="27"/>
      <c r="L487" s="28" t="s">
        <v>6223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5584</v>
      </c>
      <c r="C488" s="44" t="s">
        <v>5585</v>
      </c>
      <c r="D488" s="42" t="s">
        <v>5513</v>
      </c>
      <c r="E488" s="46">
        <v>46125</v>
      </c>
      <c r="F488" s="26" t="s">
        <v>6222</v>
      </c>
      <c r="G488" s="47" t="s">
        <v>6232</v>
      </c>
      <c r="H488" s="26" t="s">
        <v>6223</v>
      </c>
      <c r="I488" s="47" t="s">
        <v>6232</v>
      </c>
      <c r="J488" s="26" t="s">
        <v>6224</v>
      </c>
      <c r="K488" s="27"/>
      <c r="L488" s="28" t="s">
        <v>6223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5586</v>
      </c>
      <c r="C489" s="25" t="s">
        <v>5587</v>
      </c>
      <c r="D489" s="23" t="s">
        <v>5513</v>
      </c>
      <c r="E489" s="46">
        <v>46125</v>
      </c>
      <c r="F489" s="26" t="s">
        <v>6222</v>
      </c>
      <c r="G489" s="47" t="s">
        <v>6232</v>
      </c>
      <c r="H489" s="26" t="s">
        <v>6223</v>
      </c>
      <c r="I489" s="47" t="s">
        <v>6232</v>
      </c>
      <c r="J489" s="26" t="s">
        <v>6224</v>
      </c>
      <c r="K489" s="27"/>
      <c r="L489" s="28" t="s">
        <v>6223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5588</v>
      </c>
      <c r="C490" s="44" t="s">
        <v>5589</v>
      </c>
      <c r="D490" s="42" t="s">
        <v>5513</v>
      </c>
      <c r="E490" s="46">
        <v>46125</v>
      </c>
      <c r="F490" s="26" t="s">
        <v>6222</v>
      </c>
      <c r="G490" s="47" t="s">
        <v>6232</v>
      </c>
      <c r="H490" s="26" t="s">
        <v>6223</v>
      </c>
      <c r="I490" s="47" t="s">
        <v>6232</v>
      </c>
      <c r="J490" s="26" t="s">
        <v>6224</v>
      </c>
      <c r="K490" s="27"/>
      <c r="L490" s="28" t="s">
        <v>6223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5590</v>
      </c>
      <c r="C491" s="25" t="s">
        <v>5591</v>
      </c>
      <c r="D491" s="23" t="s">
        <v>5513</v>
      </c>
      <c r="E491" s="46">
        <v>46125</v>
      </c>
      <c r="F491" s="26" t="s">
        <v>6222</v>
      </c>
      <c r="G491" s="47" t="s">
        <v>6224</v>
      </c>
      <c r="H491" s="26" t="s">
        <v>6223</v>
      </c>
      <c r="I491" s="47" t="s">
        <v>6225</v>
      </c>
      <c r="J491" s="26" t="s">
        <v>6224</v>
      </c>
      <c r="K491" s="27"/>
      <c r="L491" s="28" t="s">
        <v>6223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5592</v>
      </c>
      <c r="C492" s="44" t="s">
        <v>5593</v>
      </c>
      <c r="D492" s="42" t="s">
        <v>5513</v>
      </c>
      <c r="E492" s="46">
        <v>46125</v>
      </c>
      <c r="F492" s="26" t="s">
        <v>6222</v>
      </c>
      <c r="G492" s="47" t="s">
        <v>6232</v>
      </c>
      <c r="H492" s="26" t="s">
        <v>6223</v>
      </c>
      <c r="I492" s="47" t="s">
        <v>6232</v>
      </c>
      <c r="J492" s="26" t="s">
        <v>6224</v>
      </c>
      <c r="K492" s="27"/>
      <c r="L492" s="28" t="s">
        <v>6223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5594</v>
      </c>
      <c r="C493" s="25" t="s">
        <v>5595</v>
      </c>
      <c r="D493" s="23" t="s">
        <v>5513</v>
      </c>
      <c r="E493" s="46">
        <v>46125</v>
      </c>
      <c r="F493" s="26" t="s">
        <v>6222</v>
      </c>
      <c r="G493" s="47" t="s">
        <v>6232</v>
      </c>
      <c r="H493" s="26" t="s">
        <v>6223</v>
      </c>
      <c r="I493" s="47" t="s">
        <v>6232</v>
      </c>
      <c r="J493" s="26" t="s">
        <v>6224</v>
      </c>
      <c r="K493" s="27"/>
      <c r="L493" s="28" t="s">
        <v>6223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5596</v>
      </c>
      <c r="C494" s="44" t="s">
        <v>5597</v>
      </c>
      <c r="D494" s="42" t="s">
        <v>5513</v>
      </c>
      <c r="E494" s="46">
        <v>46125</v>
      </c>
      <c r="F494" s="26" t="s">
        <v>6222</v>
      </c>
      <c r="G494" s="47" t="s">
        <v>6232</v>
      </c>
      <c r="H494" s="26" t="s">
        <v>6223</v>
      </c>
      <c r="I494" s="47" t="s">
        <v>6232</v>
      </c>
      <c r="J494" s="26" t="s">
        <v>6224</v>
      </c>
      <c r="K494" s="27"/>
      <c r="L494" s="28" t="s">
        <v>6223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5598</v>
      </c>
      <c r="C495" s="25" t="s">
        <v>5599</v>
      </c>
      <c r="D495" s="23" t="s">
        <v>5513</v>
      </c>
      <c r="E495" s="46">
        <v>46125</v>
      </c>
      <c r="F495" s="26" t="s">
        <v>6222</v>
      </c>
      <c r="G495" s="47" t="s">
        <v>6232</v>
      </c>
      <c r="H495" s="26" t="s">
        <v>6223</v>
      </c>
      <c r="I495" s="47" t="s">
        <v>6232</v>
      </c>
      <c r="J495" s="26" t="s">
        <v>6224</v>
      </c>
      <c r="K495" s="27"/>
      <c r="L495" s="28" t="s">
        <v>6223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5600</v>
      </c>
      <c r="C496" s="44" t="s">
        <v>5601</v>
      </c>
      <c r="D496" s="42" t="s">
        <v>5513</v>
      </c>
      <c r="E496" s="46">
        <v>46125</v>
      </c>
      <c r="F496" s="26" t="s">
        <v>6222</v>
      </c>
      <c r="G496" s="47" t="s">
        <v>6232</v>
      </c>
      <c r="H496" s="26" t="s">
        <v>6223</v>
      </c>
      <c r="I496" s="47" t="s">
        <v>6232</v>
      </c>
      <c r="J496" s="26" t="s">
        <v>6224</v>
      </c>
      <c r="K496" s="27"/>
      <c r="L496" s="28" t="s">
        <v>6223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5602</v>
      </c>
      <c r="C497" s="25" t="s">
        <v>5603</v>
      </c>
      <c r="D497" s="23" t="s">
        <v>5513</v>
      </c>
      <c r="E497" s="46">
        <v>46125</v>
      </c>
      <c r="F497" s="26" t="s">
        <v>6222</v>
      </c>
      <c r="G497" s="47" t="s">
        <v>6232</v>
      </c>
      <c r="H497" s="26" t="s">
        <v>6223</v>
      </c>
      <c r="I497" s="47" t="s">
        <v>6232</v>
      </c>
      <c r="J497" s="26" t="s">
        <v>6224</v>
      </c>
      <c r="K497" s="27"/>
      <c r="L497" s="28" t="s">
        <v>6223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5604</v>
      </c>
      <c r="C498" s="44" t="s">
        <v>5605</v>
      </c>
      <c r="D498" s="42" t="s">
        <v>5513</v>
      </c>
      <c r="E498" s="46">
        <v>46125</v>
      </c>
      <c r="F498" s="26" t="s">
        <v>6222</v>
      </c>
      <c r="G498" s="47" t="s">
        <v>6232</v>
      </c>
      <c r="H498" s="26" t="s">
        <v>6223</v>
      </c>
      <c r="I498" s="47" t="s">
        <v>6232</v>
      </c>
      <c r="J498" s="26" t="s">
        <v>6224</v>
      </c>
      <c r="K498" s="27"/>
      <c r="L498" s="28" t="s">
        <v>6223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5606</v>
      </c>
      <c r="C499" s="25" t="s">
        <v>5607</v>
      </c>
      <c r="D499" s="23" t="s">
        <v>5513</v>
      </c>
      <c r="E499" s="46">
        <v>46125</v>
      </c>
      <c r="F499" s="26" t="s">
        <v>6222</v>
      </c>
      <c r="G499" s="47" t="s">
        <v>6232</v>
      </c>
      <c r="H499" s="26" t="s">
        <v>6223</v>
      </c>
      <c r="I499" s="47" t="s">
        <v>6232</v>
      </c>
      <c r="J499" s="26" t="s">
        <v>6224</v>
      </c>
      <c r="K499" s="27"/>
      <c r="L499" s="28" t="s">
        <v>6223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5608</v>
      </c>
      <c r="C500" s="44" t="s">
        <v>5609</v>
      </c>
      <c r="D500" s="42" t="s">
        <v>5513</v>
      </c>
      <c r="E500" s="46">
        <v>46125</v>
      </c>
      <c r="F500" s="26" t="s">
        <v>6222</v>
      </c>
      <c r="G500" s="47" t="s">
        <v>6232</v>
      </c>
      <c r="H500" s="26" t="s">
        <v>6223</v>
      </c>
      <c r="I500" s="47" t="s">
        <v>6232</v>
      </c>
      <c r="J500" s="26" t="s">
        <v>6224</v>
      </c>
      <c r="K500" s="27"/>
      <c r="L500" s="28" t="s">
        <v>6223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5610</v>
      </c>
      <c r="C501" s="25" t="s">
        <v>5611</v>
      </c>
      <c r="D501" s="23" t="s">
        <v>5513</v>
      </c>
      <c r="E501" s="46">
        <v>46125</v>
      </c>
      <c r="F501" s="26" t="s">
        <v>6222</v>
      </c>
      <c r="G501" s="47" t="s">
        <v>6224</v>
      </c>
      <c r="H501" s="26" t="s">
        <v>6223</v>
      </c>
      <c r="I501" s="47" t="s">
        <v>6225</v>
      </c>
      <c r="J501" s="26" t="s">
        <v>6224</v>
      </c>
      <c r="K501" s="27"/>
      <c r="L501" s="28" t="s">
        <v>6223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5612</v>
      </c>
      <c r="C502" s="44" t="s">
        <v>5613</v>
      </c>
      <c r="D502" s="42" t="s">
        <v>5513</v>
      </c>
      <c r="E502" s="46">
        <v>46125</v>
      </c>
      <c r="F502" s="26" t="s">
        <v>6222</v>
      </c>
      <c r="G502" s="47" t="s">
        <v>6232</v>
      </c>
      <c r="H502" s="26" t="s">
        <v>6223</v>
      </c>
      <c r="I502" s="47" t="s">
        <v>6232</v>
      </c>
      <c r="J502" s="26" t="s">
        <v>6224</v>
      </c>
      <c r="K502" s="27"/>
      <c r="L502" s="28" t="s">
        <v>6223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5614</v>
      </c>
      <c r="C503" s="25" t="s">
        <v>5615</v>
      </c>
      <c r="D503" s="23" t="s">
        <v>5513</v>
      </c>
      <c r="E503" s="46">
        <v>46125</v>
      </c>
      <c r="F503" s="26" t="s">
        <v>6222</v>
      </c>
      <c r="G503" s="47" t="s">
        <v>6224</v>
      </c>
      <c r="H503" s="26" t="s">
        <v>6223</v>
      </c>
      <c r="I503" s="47" t="s">
        <v>6225</v>
      </c>
      <c r="J503" s="26" t="s">
        <v>6224</v>
      </c>
      <c r="K503" s="27"/>
      <c r="L503" s="28" t="s">
        <v>6223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5616</v>
      </c>
      <c r="C504" s="44" t="s">
        <v>5617</v>
      </c>
      <c r="D504" s="42" t="s">
        <v>5513</v>
      </c>
      <c r="E504" s="46">
        <v>46125</v>
      </c>
      <c r="F504" s="26" t="s">
        <v>6222</v>
      </c>
      <c r="G504" s="47" t="s">
        <v>6232</v>
      </c>
      <c r="H504" s="26" t="s">
        <v>6223</v>
      </c>
      <c r="I504" s="47" t="s">
        <v>6232</v>
      </c>
      <c r="J504" s="26" t="s">
        <v>6224</v>
      </c>
      <c r="K504" s="27"/>
      <c r="L504" s="28" t="s">
        <v>6223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5618</v>
      </c>
      <c r="C505" s="25" t="s">
        <v>5619</v>
      </c>
      <c r="D505" s="23" t="s">
        <v>5513</v>
      </c>
      <c r="E505" s="46">
        <v>46125</v>
      </c>
      <c r="F505" s="26" t="s">
        <v>6222</v>
      </c>
      <c r="G505" s="47" t="s">
        <v>6232</v>
      </c>
      <c r="H505" s="26" t="s">
        <v>6223</v>
      </c>
      <c r="I505" s="47" t="s">
        <v>6232</v>
      </c>
      <c r="J505" s="26" t="s">
        <v>6224</v>
      </c>
      <c r="K505" s="27"/>
      <c r="L505" s="28" t="s">
        <v>6223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5620</v>
      </c>
      <c r="C506" s="44" t="s">
        <v>5621</v>
      </c>
      <c r="D506" s="42" t="s">
        <v>5513</v>
      </c>
      <c r="E506" s="46">
        <v>46125</v>
      </c>
      <c r="F506" s="26" t="s">
        <v>6222</v>
      </c>
      <c r="G506" s="47" t="s">
        <v>6232</v>
      </c>
      <c r="H506" s="26" t="s">
        <v>6223</v>
      </c>
      <c r="I506" s="47" t="s">
        <v>6232</v>
      </c>
      <c r="J506" s="26" t="s">
        <v>6224</v>
      </c>
      <c r="K506" s="27"/>
      <c r="L506" s="28" t="s">
        <v>6223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5622</v>
      </c>
      <c r="C507" s="25" t="s">
        <v>5623</v>
      </c>
      <c r="D507" s="23" t="s">
        <v>5513</v>
      </c>
      <c r="E507" s="46">
        <v>46125</v>
      </c>
      <c r="F507" s="26" t="s">
        <v>6222</v>
      </c>
      <c r="G507" s="47" t="s">
        <v>6232</v>
      </c>
      <c r="H507" s="26" t="s">
        <v>6223</v>
      </c>
      <c r="I507" s="47" t="s">
        <v>6232</v>
      </c>
      <c r="J507" s="26" t="s">
        <v>6224</v>
      </c>
      <c r="K507" s="27"/>
      <c r="L507" s="28" t="s">
        <v>6223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5624</v>
      </c>
      <c r="C508" s="44" t="s">
        <v>5625</v>
      </c>
      <c r="D508" s="42" t="s">
        <v>5513</v>
      </c>
      <c r="E508" s="46">
        <v>46125</v>
      </c>
      <c r="F508" s="26" t="s">
        <v>6222</v>
      </c>
      <c r="G508" s="47" t="s">
        <v>6232</v>
      </c>
      <c r="H508" s="26" t="s">
        <v>6223</v>
      </c>
      <c r="I508" s="47" t="s">
        <v>6232</v>
      </c>
      <c r="J508" s="26" t="s">
        <v>6224</v>
      </c>
      <c r="K508" s="27"/>
      <c r="L508" s="28" t="s">
        <v>6223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5626</v>
      </c>
      <c r="C509" s="25" t="s">
        <v>5627</v>
      </c>
      <c r="D509" s="23" t="s">
        <v>5513</v>
      </c>
      <c r="E509" s="46">
        <v>46125</v>
      </c>
      <c r="F509" s="26" t="s">
        <v>6222</v>
      </c>
      <c r="G509" s="47" t="s">
        <v>6232</v>
      </c>
      <c r="H509" s="26" t="s">
        <v>6223</v>
      </c>
      <c r="I509" s="47" t="s">
        <v>6232</v>
      </c>
      <c r="J509" s="26" t="s">
        <v>6224</v>
      </c>
      <c r="K509" s="27"/>
      <c r="L509" s="28" t="s">
        <v>6223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5628</v>
      </c>
      <c r="C510" s="44" t="s">
        <v>5629</v>
      </c>
      <c r="D510" s="42" t="s">
        <v>5513</v>
      </c>
      <c r="E510" s="46">
        <v>46125</v>
      </c>
      <c r="F510" s="26" t="s">
        <v>6222</v>
      </c>
      <c r="G510" s="47" t="s">
        <v>6232</v>
      </c>
      <c r="H510" s="26" t="s">
        <v>6223</v>
      </c>
      <c r="I510" s="47" t="s">
        <v>6232</v>
      </c>
      <c r="J510" s="26" t="s">
        <v>6224</v>
      </c>
      <c r="K510" s="27"/>
      <c r="L510" s="28" t="s">
        <v>6223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5630</v>
      </c>
      <c r="C511" s="25" t="s">
        <v>5631</v>
      </c>
      <c r="D511" s="23" t="s">
        <v>5513</v>
      </c>
      <c r="E511" s="46">
        <v>46125</v>
      </c>
      <c r="F511" s="26" t="s">
        <v>6222</v>
      </c>
      <c r="G511" s="47" t="s">
        <v>6232</v>
      </c>
      <c r="H511" s="26" t="s">
        <v>6223</v>
      </c>
      <c r="I511" s="47" t="s">
        <v>6232</v>
      </c>
      <c r="J511" s="26" t="s">
        <v>6224</v>
      </c>
      <c r="K511" s="27"/>
      <c r="L511" s="28" t="s">
        <v>6223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5632</v>
      </c>
      <c r="C512" s="44" t="s">
        <v>5633</v>
      </c>
      <c r="D512" s="42" t="s">
        <v>5513</v>
      </c>
      <c r="E512" s="46">
        <v>46125</v>
      </c>
      <c r="F512" s="26" t="s">
        <v>6222</v>
      </c>
      <c r="G512" s="47" t="s">
        <v>6224</v>
      </c>
      <c r="H512" s="26" t="s">
        <v>6223</v>
      </c>
      <c r="I512" s="47" t="s">
        <v>6225</v>
      </c>
      <c r="J512" s="26" t="s">
        <v>6224</v>
      </c>
      <c r="K512" s="27"/>
      <c r="L512" s="28" t="s">
        <v>6223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5634</v>
      </c>
      <c r="C513" s="25" t="s">
        <v>5635</v>
      </c>
      <c r="D513" s="23" t="s">
        <v>5513</v>
      </c>
      <c r="E513" s="46">
        <v>46125</v>
      </c>
      <c r="F513" s="26" t="s">
        <v>6222</v>
      </c>
      <c r="G513" s="47" t="s">
        <v>6232</v>
      </c>
      <c r="H513" s="26" t="s">
        <v>6223</v>
      </c>
      <c r="I513" s="47" t="s">
        <v>6232</v>
      </c>
      <c r="J513" s="26" t="s">
        <v>6224</v>
      </c>
      <c r="K513" s="27"/>
      <c r="L513" s="28" t="s">
        <v>6223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5636</v>
      </c>
      <c r="C514" s="44" t="s">
        <v>5637</v>
      </c>
      <c r="D514" s="42" t="s">
        <v>5513</v>
      </c>
      <c r="E514" s="46">
        <v>46125</v>
      </c>
      <c r="F514" s="26" t="s">
        <v>6222</v>
      </c>
      <c r="G514" s="47" t="s">
        <v>6232</v>
      </c>
      <c r="H514" s="26" t="s">
        <v>6223</v>
      </c>
      <c r="I514" s="47" t="s">
        <v>6232</v>
      </c>
      <c r="J514" s="26" t="s">
        <v>6224</v>
      </c>
      <c r="K514" s="27"/>
      <c r="L514" s="28" t="s">
        <v>6223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5638</v>
      </c>
      <c r="C515" s="25" t="s">
        <v>5639</v>
      </c>
      <c r="D515" s="23" t="s">
        <v>5513</v>
      </c>
      <c r="E515" s="46">
        <v>46125</v>
      </c>
      <c r="F515" s="26" t="s">
        <v>6222</v>
      </c>
      <c r="G515" s="47" t="s">
        <v>6232</v>
      </c>
      <c r="H515" s="26" t="s">
        <v>6223</v>
      </c>
      <c r="I515" s="47" t="s">
        <v>6232</v>
      </c>
      <c r="J515" s="26" t="s">
        <v>6224</v>
      </c>
      <c r="K515" s="27"/>
      <c r="L515" s="28" t="s">
        <v>6223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5640</v>
      </c>
      <c r="C516" s="44" t="s">
        <v>5641</v>
      </c>
      <c r="D516" s="42" t="s">
        <v>5513</v>
      </c>
      <c r="E516" s="46">
        <v>46125</v>
      </c>
      <c r="F516" s="26" t="s">
        <v>6222</v>
      </c>
      <c r="G516" s="47" t="s">
        <v>6232</v>
      </c>
      <c r="H516" s="26" t="s">
        <v>6223</v>
      </c>
      <c r="I516" s="47" t="s">
        <v>6232</v>
      </c>
      <c r="J516" s="26" t="s">
        <v>6224</v>
      </c>
      <c r="K516" s="27"/>
      <c r="L516" s="28" t="s">
        <v>6223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95" priority="2">
      <formula>G5="Yes"</formula>
    </cfRule>
    <cfRule type="expression" dxfId="94" priority="3">
      <formula>G5="No"</formula>
    </cfRule>
    <cfRule type="expression" dxfId="93" priority="4">
      <formula>MOD(ROW(),2)=0</formula>
    </cfRule>
  </conditionalFormatting>
  <conditionalFormatting sqref="H5:H516">
    <cfRule type="expression" dxfId="92" priority="5">
      <formula>H5="Yes"</formula>
    </cfRule>
  </conditionalFormatting>
  <conditionalFormatting sqref="I5:I516">
    <cfRule type="expression" dxfId="91" priority="1">
      <formula>MOD(ROW(),2)=0</formula>
    </cfRule>
  </conditionalFormatting>
  <conditionalFormatting sqref="J5:J516">
    <cfRule type="expression" dxfId="90" priority="6">
      <formula>J5="Yes"</formula>
    </cfRule>
    <cfRule type="expression" dxfId="89" priority="7">
      <formula>J5="No"</formula>
    </cfRule>
  </conditionalFormatting>
  <conditionalFormatting sqref="J5:L5 A5:F516 J8:L9 J19:L19 J30:L30 J43:L43 J51:L51 J98:L98 J100:L100 J106:L106 J109:L109 J112:L112 J126:L126 J128:L128 J130:L130 J135:L135 J146:L146 J152:L152 J163:L163 J168:L168 J176:L177 J192:L192 J197:L197 J201:L201 J204:L204 J211:L211 J216:L216 J224:L224 J228:L228 J232:L232 J244:L244 J251:L251 J268:L268 J276:L276 J280:L280 J286:L286 J289:L289 J294:L294 J305:L306 J310:L310 J313:L313 J318:L318 J324:L324 J329:L329 J332:L332 J337:L337 J348:L348 J362:L362 J380:L389 J421:L424 J430:L430 J438:L438 J444:L444 J472:L472 J476:L476 J483:L483 J491:L491 J501:L501 J503:L503 J512:L512 H5:H516">
    <cfRule type="expression" dxfId="88" priority="8">
      <formula>MOD(ROW(),2)=0</formula>
    </cfRule>
  </conditionalFormatting>
  <conditionalFormatting sqref="M5:M516">
    <cfRule type="expression" dxfId="87" priority="9">
      <formula>M5="✓ OK"</formula>
    </cfRule>
    <cfRule type="expression" dxfId="86" priority="10">
      <formula>M5="❌ Disc"</formula>
    </cfRule>
    <cfRule type="expression" dxfId="85" priority="11">
      <formula>M5="⚠ Missing"</formula>
    </cfRule>
    <cfRule type="expression" dxfId="84" priority="12">
      <formula>M5="⚠ Check"</formula>
    </cfRule>
  </conditionalFormatting>
  <conditionalFormatting sqref="M5:AW5 J6:AW6 J53:AW53 J212:AW212 J301:AW301 J7:L7 J10:L18 J20:L29 J31:L42 J44:L50 M7:AW52 J52:L52 J99:L99 J101:L105 J107:L108 J110:L111 J113:L125 J127:L127 J129:L129 J131:L134 J136:L145 J147:L151 J164:L167 J169:L175 J178:L191 J193:L196 J198:L200 J202:L203 J205:L210 J213:L215 J217:L223 J225:L227 J229:L231 J233:L243 J245:L250 J252:L267 J269:L275 J277:L279 J281:L285 J287:L288 J290:L293 M213:AW300 J295:L300 J302:L304 J307:L309 J311:L312 J319:L323 J325:L328 J330:L331 J333:L336 J338:L347 J349:L361 J425:L429 J431:L437 J439:L443 M302:AW516 J473:L475 J477:L482 J484:L490 J492:L500 J502:L502 J504:L511 J513:L516 M54:AW211 J54:L97 J153:L162 J314:L317 J363:L379 J390:L420 J445:L471">
    <cfRule type="expression" dxfId="83" priority="54">
      <formula>MOD(ROW(),2)=0</formula>
    </cfRule>
  </conditionalFormatting>
  <conditionalFormatting sqref="P5:P516">
    <cfRule type="expression" dxfId="82" priority="22">
      <formula>P5="Yes"</formula>
    </cfRule>
    <cfRule type="expression" dxfId="81" priority="23">
      <formula>P5="No"</formula>
    </cfRule>
  </conditionalFormatting>
  <conditionalFormatting sqref="Q5:Q516">
    <cfRule type="expression" dxfId="80" priority="24">
      <formula>Q5="Yes"</formula>
    </cfRule>
  </conditionalFormatting>
  <conditionalFormatting sqref="S5:S516">
    <cfRule type="expression" dxfId="79" priority="25">
      <formula>S5="Yes"</formula>
    </cfRule>
    <cfRule type="expression" dxfId="78" priority="26">
      <formula>S5="No"</formula>
    </cfRule>
  </conditionalFormatting>
  <conditionalFormatting sqref="V5:V516">
    <cfRule type="expression" dxfId="77" priority="18">
      <formula>V5="✓ OK"</formula>
    </cfRule>
    <cfRule type="expression" dxfId="76" priority="19">
      <formula>V5="❌ Disc"</formula>
    </cfRule>
    <cfRule type="expression" dxfId="75" priority="20">
      <formula>V5="⚠ Missing"</formula>
    </cfRule>
    <cfRule type="expression" dxfId="74" priority="21">
      <formula>V5="⚠ Check"</formula>
    </cfRule>
  </conditionalFormatting>
  <conditionalFormatting sqref="Y5:Y516">
    <cfRule type="expression" dxfId="73" priority="32">
      <formula>Y5="No"</formula>
    </cfRule>
    <cfRule type="expression" dxfId="72" priority="31">
      <formula>Y5="Yes"</formula>
    </cfRule>
  </conditionalFormatting>
  <conditionalFormatting sqref="Z5:Z516">
    <cfRule type="expression" dxfId="71" priority="33">
      <formula>Z5="Yes"</formula>
    </cfRule>
  </conditionalFormatting>
  <conditionalFormatting sqref="AB5:AB516">
    <cfRule type="expression" dxfId="70" priority="35">
      <formula>AB5="No"</formula>
    </cfRule>
    <cfRule type="expression" dxfId="69" priority="34">
      <formula>AB5="Yes"</formula>
    </cfRule>
  </conditionalFormatting>
  <conditionalFormatting sqref="AE5:AE516">
    <cfRule type="expression" dxfId="68" priority="28">
      <formula>AE5="❌ Disc"</formula>
    </cfRule>
    <cfRule type="expression" dxfId="67" priority="27">
      <formula>AE5="✓ OK"</formula>
    </cfRule>
    <cfRule type="expression" dxfId="66" priority="30">
      <formula>AE5="⚠ Check"</formula>
    </cfRule>
    <cfRule type="expression" dxfId="65" priority="29">
      <formula>AE5="⚠ Missing"</formula>
    </cfRule>
  </conditionalFormatting>
  <conditionalFormatting sqref="AH5:AH516">
    <cfRule type="expression" dxfId="64" priority="40">
      <formula>AH5="Yes"</formula>
    </cfRule>
    <cfRule type="expression" dxfId="63" priority="41">
      <formula>AH5="No"</formula>
    </cfRule>
  </conditionalFormatting>
  <conditionalFormatting sqref="AI5:AI516">
    <cfRule type="expression" dxfId="62" priority="42">
      <formula>AI5="Yes"</formula>
    </cfRule>
  </conditionalFormatting>
  <conditionalFormatting sqref="AK5:AK516">
    <cfRule type="expression" dxfId="61" priority="43">
      <formula>AK5="Yes"</formula>
    </cfRule>
    <cfRule type="expression" dxfId="60" priority="44">
      <formula>AK5="No"</formula>
    </cfRule>
  </conditionalFormatting>
  <conditionalFormatting sqref="AN5:AN516">
    <cfRule type="expression" dxfId="59" priority="36">
      <formula>AN5="✓ OK"</formula>
    </cfRule>
    <cfRule type="expression" dxfId="58" priority="37">
      <formula>AN5="❌ Disc"</formula>
    </cfRule>
    <cfRule type="expression" dxfId="57" priority="38">
      <formula>AN5="⚠ Missing"</formula>
    </cfRule>
    <cfRule type="expression" dxfId="56" priority="39">
      <formula>AN5="⚠ Check"</formula>
    </cfRule>
  </conditionalFormatting>
  <conditionalFormatting sqref="AQ5:AQ516">
    <cfRule type="expression" dxfId="55" priority="49">
      <formula>AQ5="Yes"</formula>
    </cfRule>
    <cfRule type="expression" dxfId="54" priority="50">
      <formula>AQ5="No"</formula>
    </cfRule>
  </conditionalFormatting>
  <conditionalFormatting sqref="AR5:AR516">
    <cfRule type="expression" dxfId="53" priority="51">
      <formula>AR5="Yes"</formula>
    </cfRule>
  </conditionalFormatting>
  <conditionalFormatting sqref="AT5:AT516">
    <cfRule type="expression" dxfId="52" priority="52">
      <formula>AT5="Yes"</formula>
    </cfRule>
    <cfRule type="expression" dxfId="51" priority="53">
      <formula>AT5="No"</formula>
    </cfRule>
  </conditionalFormatting>
  <conditionalFormatting sqref="AW5:AW516">
    <cfRule type="expression" dxfId="50" priority="45">
      <formula>AW5="✓ OK"</formula>
    </cfRule>
    <cfRule type="expression" dxfId="49" priority="46">
      <formula>AW5="❌ Disc"</formula>
    </cfRule>
    <cfRule type="expression" dxfId="48" priority="47">
      <formula>AW5="⚠ Missing"</formula>
    </cfRule>
    <cfRule type="expression" dxfId="47" priority="48">
      <formula>AW5="⚠ Check"</formula>
    </cfRule>
  </conditionalFormatting>
  <dataValidations count="4">
    <dataValidation type="list" allowBlank="1" sqref="AT5:AT516 AQ5:AR516 AK5:AK516 AH5:AI516 AB5:AB516 Y5:Z516 S5:S516 P5:Q516 H5:H516 J5:J516" xr:uid="{00000000-0002-0000-0B00-000000000000}">
      <formula1>"Yes,No"</formula1>
    </dataValidation>
    <dataValidation type="list" allowBlank="1" sqref="R5:R516 AS5:AS516 AJ5:AJ516 AA5:AA516" xr:uid="{00000000-0002-0000-0B00-000003000000}">
      <formula1>"Good finish,Minor defect,Major defect,Discontinued,Not Available"</formula1>
    </dataValidation>
    <dataValidation type="list" allowBlank="1" sqref="I5:I516" xr:uid="{046C4388-FF50-42EA-91D0-BC97F17E03FF}">
      <formula1>"Represented by Sample,Good finish,Minor defect,Major defect,Discontinued,Not Available"</formula1>
    </dataValidation>
    <dataValidation type="list" allowBlank="1" sqref="G5:G516" xr:uid="{CC623064-5A22-4AD4-9037-8DE275EBE6C1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G5" sqref="G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5642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5643</v>
      </c>
      <c r="C5" s="25" t="s">
        <v>5644</v>
      </c>
      <c r="D5" s="23" t="s">
        <v>5645</v>
      </c>
      <c r="E5" s="46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5646</v>
      </c>
      <c r="C6" s="44" t="s">
        <v>5647</v>
      </c>
      <c r="D6" s="42" t="s">
        <v>5645</v>
      </c>
      <c r="E6" s="46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5648</v>
      </c>
      <c r="C7" s="25" t="s">
        <v>5649</v>
      </c>
      <c r="D7" s="23" t="s">
        <v>5645</v>
      </c>
      <c r="E7" s="46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5650</v>
      </c>
      <c r="C8" s="44" t="s">
        <v>5651</v>
      </c>
      <c r="D8" s="42" t="s">
        <v>5645</v>
      </c>
      <c r="E8" s="46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5652</v>
      </c>
      <c r="C9" s="25" t="s">
        <v>5653</v>
      </c>
      <c r="D9" s="23" t="s">
        <v>5645</v>
      </c>
      <c r="E9" s="46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5654</v>
      </c>
      <c r="C10" s="44" t="s">
        <v>5655</v>
      </c>
      <c r="D10" s="42" t="s">
        <v>5645</v>
      </c>
      <c r="E10" s="46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5656</v>
      </c>
      <c r="C11" s="25" t="s">
        <v>5657</v>
      </c>
      <c r="D11" s="23" t="s">
        <v>5645</v>
      </c>
      <c r="E11" s="46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5658</v>
      </c>
      <c r="C12" s="44" t="s">
        <v>5659</v>
      </c>
      <c r="D12" s="42" t="s">
        <v>5645</v>
      </c>
      <c r="E12" s="46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5660</v>
      </c>
      <c r="C13" s="25" t="s">
        <v>5661</v>
      </c>
      <c r="D13" s="23" t="s">
        <v>5645</v>
      </c>
      <c r="E13" s="46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5662</v>
      </c>
      <c r="C14" s="44" t="s">
        <v>5663</v>
      </c>
      <c r="D14" s="42" t="s">
        <v>5645</v>
      </c>
      <c r="E14" s="46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5664</v>
      </c>
      <c r="C15" s="25" t="s">
        <v>5665</v>
      </c>
      <c r="D15" s="23" t="s">
        <v>5645</v>
      </c>
      <c r="E15" s="46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5666</v>
      </c>
      <c r="C16" s="44" t="s">
        <v>5667</v>
      </c>
      <c r="D16" s="42" t="s">
        <v>5645</v>
      </c>
      <c r="E16" s="46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5668</v>
      </c>
      <c r="C17" s="25" t="s">
        <v>5669</v>
      </c>
      <c r="D17" s="23" t="s">
        <v>5645</v>
      </c>
      <c r="E17" s="46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5670</v>
      </c>
      <c r="C18" s="44" t="s">
        <v>5671</v>
      </c>
      <c r="D18" s="42" t="s">
        <v>5645</v>
      </c>
      <c r="E18" s="46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5672</v>
      </c>
      <c r="C19" s="25" t="s">
        <v>5673</v>
      </c>
      <c r="D19" s="23" t="s">
        <v>5645</v>
      </c>
      <c r="E19" s="46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5674</v>
      </c>
      <c r="C20" s="44" t="s">
        <v>5675</v>
      </c>
      <c r="D20" s="42" t="s">
        <v>5645</v>
      </c>
      <c r="E20" s="46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5676</v>
      </c>
      <c r="C21" s="25" t="s">
        <v>5677</v>
      </c>
      <c r="D21" s="23" t="s">
        <v>5645</v>
      </c>
      <c r="E21" s="46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5678</v>
      </c>
      <c r="C22" s="44" t="s">
        <v>5679</v>
      </c>
      <c r="D22" s="42" t="s">
        <v>5645</v>
      </c>
      <c r="E22" s="46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5680</v>
      </c>
      <c r="C23" s="25" t="s">
        <v>5681</v>
      </c>
      <c r="D23" s="23" t="s">
        <v>5645</v>
      </c>
      <c r="E23" s="46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5682</v>
      </c>
      <c r="C24" s="44" t="s">
        <v>5683</v>
      </c>
      <c r="D24" s="42" t="s">
        <v>5645</v>
      </c>
      <c r="E24" s="46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5684</v>
      </c>
      <c r="C25" s="25" t="s">
        <v>5685</v>
      </c>
      <c r="D25" s="23" t="s">
        <v>5645</v>
      </c>
      <c r="E25" s="46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5686</v>
      </c>
      <c r="C26" s="44" t="s">
        <v>5687</v>
      </c>
      <c r="D26" s="42" t="s">
        <v>5645</v>
      </c>
      <c r="E26" s="46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5688</v>
      </c>
      <c r="C27" s="25" t="s">
        <v>5689</v>
      </c>
      <c r="D27" s="23" t="s">
        <v>5645</v>
      </c>
      <c r="E27" s="46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5690</v>
      </c>
      <c r="C28" s="44" t="s">
        <v>5691</v>
      </c>
      <c r="D28" s="42" t="s">
        <v>5645</v>
      </c>
      <c r="E28" s="46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5692</v>
      </c>
      <c r="C29" s="25" t="s">
        <v>5693</v>
      </c>
      <c r="D29" s="23" t="s">
        <v>5645</v>
      </c>
      <c r="E29" s="46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5694</v>
      </c>
      <c r="C30" s="44" t="s">
        <v>5695</v>
      </c>
      <c r="D30" s="42" t="s">
        <v>5645</v>
      </c>
      <c r="E30" s="46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5696</v>
      </c>
      <c r="C31" s="25" t="s">
        <v>5697</v>
      </c>
      <c r="D31" s="23" t="s">
        <v>5645</v>
      </c>
      <c r="E31" s="46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5698</v>
      </c>
      <c r="C32" s="44" t="s">
        <v>5699</v>
      </c>
      <c r="D32" s="42" t="s">
        <v>5645</v>
      </c>
      <c r="E32" s="46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5700</v>
      </c>
      <c r="C33" s="25" t="s">
        <v>5701</v>
      </c>
      <c r="D33" s="23" t="s">
        <v>5645</v>
      </c>
      <c r="E33" s="46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5702</v>
      </c>
      <c r="C34" s="44" t="s">
        <v>5703</v>
      </c>
      <c r="D34" s="42" t="s">
        <v>5645</v>
      </c>
      <c r="E34" s="46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5704</v>
      </c>
      <c r="C35" s="25" t="s">
        <v>5705</v>
      </c>
      <c r="D35" s="23" t="s">
        <v>5645</v>
      </c>
      <c r="E35" s="46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5706</v>
      </c>
      <c r="C36" s="44" t="s">
        <v>5707</v>
      </c>
      <c r="D36" s="42" t="s">
        <v>5645</v>
      </c>
      <c r="E36" s="46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5708</v>
      </c>
      <c r="C37" s="25" t="s">
        <v>5709</v>
      </c>
      <c r="D37" s="23" t="s">
        <v>5645</v>
      </c>
      <c r="E37" s="46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5710</v>
      </c>
      <c r="C38" s="44" t="s">
        <v>5711</v>
      </c>
      <c r="D38" s="42" t="s">
        <v>5645</v>
      </c>
      <c r="E38" s="46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5712</v>
      </c>
      <c r="C39" s="25" t="s">
        <v>5713</v>
      </c>
      <c r="D39" s="23" t="s">
        <v>5645</v>
      </c>
      <c r="E39" s="46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5714</v>
      </c>
      <c r="C40" s="44" t="s">
        <v>5715</v>
      </c>
      <c r="D40" s="42" t="s">
        <v>5645</v>
      </c>
      <c r="E40" s="46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5716</v>
      </c>
      <c r="C41" s="25" t="s">
        <v>5717</v>
      </c>
      <c r="D41" s="23" t="s">
        <v>5645</v>
      </c>
      <c r="E41" s="46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5718</v>
      </c>
      <c r="C42" s="44" t="s">
        <v>5719</v>
      </c>
      <c r="D42" s="42" t="s">
        <v>5645</v>
      </c>
      <c r="E42" s="46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5720</v>
      </c>
      <c r="C43" s="25" t="s">
        <v>5721</v>
      </c>
      <c r="D43" s="23" t="s">
        <v>5645</v>
      </c>
      <c r="E43" s="46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5722</v>
      </c>
      <c r="C44" s="44" t="s">
        <v>5723</v>
      </c>
      <c r="D44" s="42" t="s">
        <v>5645</v>
      </c>
      <c r="E44" s="46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5724</v>
      </c>
      <c r="C45" s="25" t="s">
        <v>5725</v>
      </c>
      <c r="D45" s="23" t="s">
        <v>5645</v>
      </c>
      <c r="E45" s="46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5726</v>
      </c>
      <c r="C46" s="44" t="s">
        <v>5727</v>
      </c>
      <c r="D46" s="42" t="s">
        <v>5645</v>
      </c>
      <c r="E46" s="46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5728</v>
      </c>
      <c r="C47" s="25" t="s">
        <v>5729</v>
      </c>
      <c r="D47" s="23" t="s">
        <v>5645</v>
      </c>
      <c r="E47" s="46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5730</v>
      </c>
      <c r="C48" s="44" t="s">
        <v>5731</v>
      </c>
      <c r="D48" s="42" t="s">
        <v>5645</v>
      </c>
      <c r="E48" s="46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5732</v>
      </c>
      <c r="C49" s="25" t="s">
        <v>5733</v>
      </c>
      <c r="D49" s="23" t="s">
        <v>5645</v>
      </c>
      <c r="E49" s="46">
        <v>46125</v>
      </c>
      <c r="F49" s="26" t="s">
        <v>6222</v>
      </c>
      <c r="G49" s="26" t="s">
        <v>6224</v>
      </c>
      <c r="H49" s="26" t="s">
        <v>6223</v>
      </c>
      <c r="I49" s="26" t="s">
        <v>6225</v>
      </c>
      <c r="J49" s="26" t="s">
        <v>6224</v>
      </c>
      <c r="K49" s="27"/>
      <c r="L49" s="28" t="s">
        <v>6223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5734</v>
      </c>
      <c r="C50" s="44" t="s">
        <v>5735</v>
      </c>
      <c r="D50" s="42" t="s">
        <v>5645</v>
      </c>
      <c r="E50" s="46">
        <v>46125</v>
      </c>
      <c r="F50" s="26" t="s">
        <v>6222</v>
      </c>
      <c r="G50" s="26" t="s">
        <v>6224</v>
      </c>
      <c r="H50" s="26" t="s">
        <v>6223</v>
      </c>
      <c r="I50" s="26" t="s">
        <v>6225</v>
      </c>
      <c r="J50" s="26" t="s">
        <v>6224</v>
      </c>
      <c r="K50" s="27"/>
      <c r="L50" s="28" t="s">
        <v>6223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5736</v>
      </c>
      <c r="C51" s="25" t="s">
        <v>5737</v>
      </c>
      <c r="D51" s="23" t="s">
        <v>5645</v>
      </c>
      <c r="E51" s="46">
        <v>46125</v>
      </c>
      <c r="F51" s="26" t="s">
        <v>6222</v>
      </c>
      <c r="G51" s="26" t="s">
        <v>6224</v>
      </c>
      <c r="H51" s="26" t="s">
        <v>6223</v>
      </c>
      <c r="I51" s="26" t="s">
        <v>6225</v>
      </c>
      <c r="J51" s="26" t="s">
        <v>6224</v>
      </c>
      <c r="K51" s="27"/>
      <c r="L51" s="28" t="s">
        <v>6223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5738</v>
      </c>
      <c r="C52" s="44" t="s">
        <v>5739</v>
      </c>
      <c r="D52" s="42" t="s">
        <v>5645</v>
      </c>
      <c r="E52" s="46">
        <v>46125</v>
      </c>
      <c r="F52" s="26" t="s">
        <v>6222</v>
      </c>
      <c r="G52" s="26" t="s">
        <v>6224</v>
      </c>
      <c r="H52" s="26" t="s">
        <v>6223</v>
      </c>
      <c r="I52" s="26" t="s">
        <v>6225</v>
      </c>
      <c r="J52" s="26" t="s">
        <v>6224</v>
      </c>
      <c r="K52" s="27"/>
      <c r="L52" s="28" t="s">
        <v>6223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5740</v>
      </c>
      <c r="C53" s="25" t="s">
        <v>5741</v>
      </c>
      <c r="D53" s="23" t="s">
        <v>5645</v>
      </c>
      <c r="E53" s="46">
        <v>46125</v>
      </c>
      <c r="F53" s="26" t="s">
        <v>6222</v>
      </c>
      <c r="G53" s="26" t="s">
        <v>6224</v>
      </c>
      <c r="H53" s="26" t="s">
        <v>6223</v>
      </c>
      <c r="I53" s="26" t="s">
        <v>6225</v>
      </c>
      <c r="J53" s="26" t="s">
        <v>6224</v>
      </c>
      <c r="K53" s="27"/>
      <c r="L53" s="28" t="s">
        <v>6223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5742</v>
      </c>
      <c r="C54" s="44" t="s">
        <v>5743</v>
      </c>
      <c r="D54" s="42" t="s">
        <v>5645</v>
      </c>
      <c r="E54" s="46">
        <v>46125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5744</v>
      </c>
      <c r="C55" s="25" t="s">
        <v>5745</v>
      </c>
      <c r="D55" s="23" t="s">
        <v>5645</v>
      </c>
      <c r="E55" s="46">
        <v>46125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5746</v>
      </c>
      <c r="C56" s="44" t="s">
        <v>5747</v>
      </c>
      <c r="D56" s="42" t="s">
        <v>5645</v>
      </c>
      <c r="E56" s="46">
        <v>46125</v>
      </c>
      <c r="F56" s="26" t="s">
        <v>6222</v>
      </c>
      <c r="G56" s="26" t="s">
        <v>6224</v>
      </c>
      <c r="H56" s="26" t="s">
        <v>6223</v>
      </c>
      <c r="I56" s="26" t="s">
        <v>6225</v>
      </c>
      <c r="J56" s="26" t="s">
        <v>6224</v>
      </c>
      <c r="K56" s="27"/>
      <c r="L56" s="28" t="s">
        <v>6223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5748</v>
      </c>
      <c r="C57" s="25" t="s">
        <v>5749</v>
      </c>
      <c r="D57" s="23" t="s">
        <v>5645</v>
      </c>
      <c r="E57" s="46">
        <v>46125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5750</v>
      </c>
      <c r="C58" s="44" t="s">
        <v>5751</v>
      </c>
      <c r="D58" s="42" t="s">
        <v>5752</v>
      </c>
      <c r="E58" s="46">
        <v>46125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5753</v>
      </c>
      <c r="C59" s="25" t="s">
        <v>5754</v>
      </c>
      <c r="D59" s="23" t="s">
        <v>5752</v>
      </c>
      <c r="E59" s="46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5755</v>
      </c>
      <c r="C60" s="44" t="s">
        <v>5756</v>
      </c>
      <c r="D60" s="42" t="s">
        <v>5752</v>
      </c>
      <c r="E60" s="46">
        <v>46125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5757</v>
      </c>
      <c r="C61" s="25" t="s">
        <v>5758</v>
      </c>
      <c r="D61" s="23" t="s">
        <v>5752</v>
      </c>
      <c r="E61" s="46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5759</v>
      </c>
      <c r="C62" s="44" t="s">
        <v>5760</v>
      </c>
      <c r="D62" s="42" t="s">
        <v>5752</v>
      </c>
      <c r="E62" s="46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5761</v>
      </c>
      <c r="C63" s="25" t="s">
        <v>5762</v>
      </c>
      <c r="D63" s="23" t="s">
        <v>5752</v>
      </c>
      <c r="E63" s="46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5763</v>
      </c>
      <c r="C64" s="44" t="s">
        <v>5764</v>
      </c>
      <c r="D64" s="42" t="s">
        <v>5752</v>
      </c>
      <c r="E64" s="46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5765</v>
      </c>
      <c r="C65" s="25" t="s">
        <v>5766</v>
      </c>
      <c r="D65" s="23" t="s">
        <v>5752</v>
      </c>
      <c r="E65" s="46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5767</v>
      </c>
      <c r="C66" s="44" t="s">
        <v>5768</v>
      </c>
      <c r="D66" s="42" t="s">
        <v>5752</v>
      </c>
      <c r="E66" s="46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5769</v>
      </c>
      <c r="C67" s="25" t="s">
        <v>5770</v>
      </c>
      <c r="D67" s="23" t="s">
        <v>5752</v>
      </c>
      <c r="E67" s="46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5771</v>
      </c>
      <c r="C68" s="44" t="s">
        <v>5772</v>
      </c>
      <c r="D68" s="42" t="s">
        <v>5752</v>
      </c>
      <c r="E68" s="46">
        <v>46125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5773</v>
      </c>
      <c r="C69" s="25" t="s">
        <v>5774</v>
      </c>
      <c r="D69" s="23" t="s">
        <v>5752</v>
      </c>
      <c r="E69" s="46">
        <v>46125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5775</v>
      </c>
      <c r="C70" s="44" t="s">
        <v>5776</v>
      </c>
      <c r="D70" s="42" t="s">
        <v>5752</v>
      </c>
      <c r="E70" s="46">
        <v>46125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5777</v>
      </c>
      <c r="C71" s="25" t="s">
        <v>5778</v>
      </c>
      <c r="D71" s="23" t="s">
        <v>5752</v>
      </c>
      <c r="E71" s="46">
        <v>46125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5779</v>
      </c>
      <c r="C72" s="44" t="s">
        <v>5780</v>
      </c>
      <c r="D72" s="42" t="s">
        <v>5752</v>
      </c>
      <c r="E72" s="46">
        <v>46125</v>
      </c>
      <c r="F72" s="26" t="s">
        <v>6222</v>
      </c>
      <c r="G72" s="26" t="s">
        <v>6224</v>
      </c>
      <c r="H72" s="26" t="s">
        <v>6223</v>
      </c>
      <c r="I72" s="26" t="s">
        <v>6225</v>
      </c>
      <c r="J72" s="26" t="s">
        <v>6224</v>
      </c>
      <c r="K72" s="27"/>
      <c r="L72" s="28" t="s">
        <v>6223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5781</v>
      </c>
      <c r="C73" s="25" t="s">
        <v>5782</v>
      </c>
      <c r="D73" s="23" t="s">
        <v>5752</v>
      </c>
      <c r="E73" s="46">
        <v>46125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5783</v>
      </c>
      <c r="C74" s="44" t="s">
        <v>5784</v>
      </c>
      <c r="D74" s="42" t="s">
        <v>5752</v>
      </c>
      <c r="E74" s="46">
        <v>46125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5785</v>
      </c>
      <c r="C75" s="25" t="s">
        <v>5786</v>
      </c>
      <c r="D75" s="23" t="s">
        <v>5752</v>
      </c>
      <c r="E75" s="46">
        <v>46125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5787</v>
      </c>
      <c r="C76" s="44" t="s">
        <v>5788</v>
      </c>
      <c r="D76" s="42" t="s">
        <v>5752</v>
      </c>
      <c r="E76" s="46">
        <v>46125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5789</v>
      </c>
      <c r="C77" s="25" t="s">
        <v>5790</v>
      </c>
      <c r="D77" s="23" t="s">
        <v>5752</v>
      </c>
      <c r="E77" s="46">
        <v>46125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5791</v>
      </c>
      <c r="C78" s="44" t="s">
        <v>5792</v>
      </c>
      <c r="D78" s="42" t="s">
        <v>5752</v>
      </c>
      <c r="E78" s="46">
        <v>46125</v>
      </c>
      <c r="F78" s="26" t="s">
        <v>6222</v>
      </c>
      <c r="G78" s="26" t="s">
        <v>6224</v>
      </c>
      <c r="H78" s="26" t="s">
        <v>6223</v>
      </c>
      <c r="I78" s="26" t="s">
        <v>6225</v>
      </c>
      <c r="J78" s="26" t="s">
        <v>6224</v>
      </c>
      <c r="K78" s="27"/>
      <c r="L78" s="28" t="s">
        <v>6223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5793</v>
      </c>
      <c r="C79" s="25" t="s">
        <v>5794</v>
      </c>
      <c r="D79" s="23" t="s">
        <v>5752</v>
      </c>
      <c r="E79" s="46">
        <v>46125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5795</v>
      </c>
      <c r="C80" s="44" t="s">
        <v>5796</v>
      </c>
      <c r="D80" s="42" t="s">
        <v>5752</v>
      </c>
      <c r="E80" s="46">
        <v>46125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5797</v>
      </c>
      <c r="C81" s="25" t="s">
        <v>5798</v>
      </c>
      <c r="D81" s="23" t="s">
        <v>5752</v>
      </c>
      <c r="E81" s="46">
        <v>46125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6223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5799</v>
      </c>
      <c r="C82" s="44" t="s">
        <v>5800</v>
      </c>
      <c r="D82" s="42" t="s">
        <v>5752</v>
      </c>
      <c r="E82" s="46">
        <v>46125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5801</v>
      </c>
      <c r="C83" s="25" t="s">
        <v>5802</v>
      </c>
      <c r="D83" s="23" t="s">
        <v>5752</v>
      </c>
      <c r="E83" s="46">
        <v>46125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5803</v>
      </c>
      <c r="C84" s="44" t="s">
        <v>5804</v>
      </c>
      <c r="D84" s="42" t="s">
        <v>5752</v>
      </c>
      <c r="E84" s="46">
        <v>46125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5805</v>
      </c>
      <c r="C85" s="25" t="s">
        <v>5806</v>
      </c>
      <c r="D85" s="23" t="s">
        <v>5752</v>
      </c>
      <c r="E85" s="46">
        <v>46125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5807</v>
      </c>
      <c r="C86" s="44" t="s">
        <v>5808</v>
      </c>
      <c r="D86" s="42" t="s">
        <v>5752</v>
      </c>
      <c r="E86" s="46">
        <v>46125</v>
      </c>
      <c r="F86" s="26" t="s">
        <v>6222</v>
      </c>
      <c r="G86" s="26" t="s">
        <v>6224</v>
      </c>
      <c r="H86" s="26" t="s">
        <v>6223</v>
      </c>
      <c r="I86" s="26" t="s">
        <v>6225</v>
      </c>
      <c r="J86" s="26" t="s">
        <v>6224</v>
      </c>
      <c r="K86" s="27"/>
      <c r="L86" s="28" t="s">
        <v>6223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5809</v>
      </c>
      <c r="C87" s="25" t="s">
        <v>5810</v>
      </c>
      <c r="D87" s="23" t="s">
        <v>5752</v>
      </c>
      <c r="E87" s="46">
        <v>46125</v>
      </c>
      <c r="F87" s="26" t="s">
        <v>6222</v>
      </c>
      <c r="G87" s="26" t="s">
        <v>6224</v>
      </c>
      <c r="H87" s="26" t="s">
        <v>6223</v>
      </c>
      <c r="I87" s="26" t="s">
        <v>6225</v>
      </c>
      <c r="J87" s="26" t="s">
        <v>6224</v>
      </c>
      <c r="K87" s="27"/>
      <c r="L87" s="28" t="s">
        <v>6223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5811</v>
      </c>
      <c r="C88" s="44" t="s">
        <v>5812</v>
      </c>
      <c r="D88" s="42" t="s">
        <v>5752</v>
      </c>
      <c r="E88" s="46">
        <v>46125</v>
      </c>
      <c r="F88" s="26" t="s">
        <v>6222</v>
      </c>
      <c r="G88" s="26" t="s">
        <v>6224</v>
      </c>
      <c r="H88" s="26" t="s">
        <v>6223</v>
      </c>
      <c r="I88" s="26" t="s">
        <v>6225</v>
      </c>
      <c r="J88" s="26" t="s">
        <v>6224</v>
      </c>
      <c r="K88" s="27"/>
      <c r="L88" s="28" t="s">
        <v>6223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5813</v>
      </c>
      <c r="C89" s="25" t="s">
        <v>5814</v>
      </c>
      <c r="D89" s="23" t="s">
        <v>5752</v>
      </c>
      <c r="E89" s="46">
        <v>46125</v>
      </c>
      <c r="F89" s="26" t="s">
        <v>6222</v>
      </c>
      <c r="G89" s="26" t="s">
        <v>6224</v>
      </c>
      <c r="H89" s="26" t="s">
        <v>6223</v>
      </c>
      <c r="I89" s="26" t="s">
        <v>6225</v>
      </c>
      <c r="J89" s="26" t="s">
        <v>6224</v>
      </c>
      <c r="K89" s="27"/>
      <c r="L89" s="28" t="s">
        <v>6223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5815</v>
      </c>
      <c r="C90" s="44" t="s">
        <v>5816</v>
      </c>
      <c r="D90" s="42" t="s">
        <v>5752</v>
      </c>
      <c r="E90" s="46">
        <v>46125</v>
      </c>
      <c r="F90" s="26" t="s">
        <v>6222</v>
      </c>
      <c r="G90" s="26" t="s">
        <v>6224</v>
      </c>
      <c r="H90" s="26" t="s">
        <v>6223</v>
      </c>
      <c r="I90" s="26" t="s">
        <v>6225</v>
      </c>
      <c r="J90" s="26" t="s">
        <v>6224</v>
      </c>
      <c r="K90" s="27"/>
      <c r="L90" s="28" t="s">
        <v>6223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5817</v>
      </c>
      <c r="C91" s="25" t="s">
        <v>5818</v>
      </c>
      <c r="D91" s="23" t="s">
        <v>5752</v>
      </c>
      <c r="E91" s="46">
        <v>46125</v>
      </c>
      <c r="F91" s="26" t="s">
        <v>6222</v>
      </c>
      <c r="G91" s="26" t="s">
        <v>6224</v>
      </c>
      <c r="H91" s="26" t="s">
        <v>6223</v>
      </c>
      <c r="I91" s="26" t="s">
        <v>6225</v>
      </c>
      <c r="J91" s="26" t="s">
        <v>6224</v>
      </c>
      <c r="K91" s="27"/>
      <c r="L91" s="28" t="s">
        <v>6223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5819</v>
      </c>
      <c r="C92" s="44" t="s">
        <v>5820</v>
      </c>
      <c r="D92" s="42" t="s">
        <v>5752</v>
      </c>
      <c r="E92" s="46">
        <v>46125</v>
      </c>
      <c r="F92" s="26" t="s">
        <v>6222</v>
      </c>
      <c r="G92" s="26" t="s">
        <v>6224</v>
      </c>
      <c r="H92" s="26" t="s">
        <v>6223</v>
      </c>
      <c r="I92" s="26" t="s">
        <v>6225</v>
      </c>
      <c r="J92" s="26" t="s">
        <v>6224</v>
      </c>
      <c r="K92" s="27"/>
      <c r="L92" s="28" t="s">
        <v>6223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5821</v>
      </c>
      <c r="C93" s="25" t="s">
        <v>5822</v>
      </c>
      <c r="D93" s="23" t="s">
        <v>5752</v>
      </c>
      <c r="E93" s="46">
        <v>46125</v>
      </c>
      <c r="F93" s="26" t="s">
        <v>6222</v>
      </c>
      <c r="G93" s="26" t="s">
        <v>6224</v>
      </c>
      <c r="H93" s="26" t="s">
        <v>6223</v>
      </c>
      <c r="I93" s="26" t="s">
        <v>6225</v>
      </c>
      <c r="J93" s="26" t="s">
        <v>6224</v>
      </c>
      <c r="K93" s="27"/>
      <c r="L93" s="28" t="s">
        <v>6223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5823</v>
      </c>
      <c r="C94" s="44" t="s">
        <v>5824</v>
      </c>
      <c r="D94" s="42" t="s">
        <v>5752</v>
      </c>
      <c r="E94" s="46">
        <v>46125</v>
      </c>
      <c r="F94" s="26" t="s">
        <v>6222</v>
      </c>
      <c r="G94" s="26" t="s">
        <v>6224</v>
      </c>
      <c r="H94" s="26" t="s">
        <v>6223</v>
      </c>
      <c r="I94" s="26" t="s">
        <v>6225</v>
      </c>
      <c r="J94" s="26" t="s">
        <v>6224</v>
      </c>
      <c r="K94" s="27"/>
      <c r="L94" s="28" t="s">
        <v>6223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5825</v>
      </c>
      <c r="C95" s="25" t="s">
        <v>5826</v>
      </c>
      <c r="D95" s="23" t="s">
        <v>5752</v>
      </c>
      <c r="E95" s="46">
        <v>46125</v>
      </c>
      <c r="F95" s="26" t="s">
        <v>6222</v>
      </c>
      <c r="G95" s="26" t="s">
        <v>6224</v>
      </c>
      <c r="H95" s="26" t="s">
        <v>6223</v>
      </c>
      <c r="I95" s="26" t="s">
        <v>6225</v>
      </c>
      <c r="J95" s="26" t="s">
        <v>6224</v>
      </c>
      <c r="K95" s="27"/>
      <c r="L95" s="28" t="s">
        <v>6223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5827</v>
      </c>
      <c r="C96" s="44" t="s">
        <v>5828</v>
      </c>
      <c r="D96" s="42" t="s">
        <v>5752</v>
      </c>
      <c r="E96" s="46">
        <v>46125</v>
      </c>
      <c r="F96" s="26" t="s">
        <v>6222</v>
      </c>
      <c r="G96" s="26" t="s">
        <v>6224</v>
      </c>
      <c r="H96" s="26" t="s">
        <v>6223</v>
      </c>
      <c r="I96" s="26" t="s">
        <v>6225</v>
      </c>
      <c r="J96" s="26" t="s">
        <v>6224</v>
      </c>
      <c r="K96" s="27"/>
      <c r="L96" s="28" t="s">
        <v>6223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5829</v>
      </c>
      <c r="C97" s="25" t="s">
        <v>5830</v>
      </c>
      <c r="D97" s="23" t="s">
        <v>5752</v>
      </c>
      <c r="E97" s="46">
        <v>46125</v>
      </c>
      <c r="F97" s="26" t="s">
        <v>6222</v>
      </c>
      <c r="G97" s="26" t="s">
        <v>6224</v>
      </c>
      <c r="H97" s="26" t="s">
        <v>6223</v>
      </c>
      <c r="I97" s="26" t="s">
        <v>6225</v>
      </c>
      <c r="J97" s="26" t="s">
        <v>6224</v>
      </c>
      <c r="K97" s="27"/>
      <c r="L97" s="28" t="s">
        <v>6223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5831</v>
      </c>
      <c r="C98" s="44" t="s">
        <v>5832</v>
      </c>
      <c r="D98" s="42" t="s">
        <v>5833</v>
      </c>
      <c r="E98" s="46">
        <v>46125</v>
      </c>
      <c r="F98" s="26" t="s">
        <v>6222</v>
      </c>
      <c r="G98" s="26" t="s">
        <v>6224</v>
      </c>
      <c r="H98" s="26" t="s">
        <v>6223</v>
      </c>
      <c r="I98" s="26" t="s">
        <v>6225</v>
      </c>
      <c r="J98" s="26" t="s">
        <v>6224</v>
      </c>
      <c r="K98" s="27"/>
      <c r="L98" s="28" t="s">
        <v>6223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5834</v>
      </c>
      <c r="C99" s="25" t="s">
        <v>5835</v>
      </c>
      <c r="D99" s="23" t="s">
        <v>5833</v>
      </c>
      <c r="E99" s="46">
        <v>46125</v>
      </c>
      <c r="F99" s="26" t="s">
        <v>6222</v>
      </c>
      <c r="G99" s="26" t="s">
        <v>6224</v>
      </c>
      <c r="H99" s="26" t="s">
        <v>6223</v>
      </c>
      <c r="I99" s="26" t="s">
        <v>6225</v>
      </c>
      <c r="J99" s="26" t="s">
        <v>6224</v>
      </c>
      <c r="K99" s="27"/>
      <c r="L99" s="28" t="s">
        <v>6223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5836</v>
      </c>
      <c r="C100" s="44" t="s">
        <v>5837</v>
      </c>
      <c r="D100" s="42" t="s">
        <v>5833</v>
      </c>
      <c r="E100" s="46">
        <v>46125</v>
      </c>
      <c r="F100" s="26" t="s">
        <v>6222</v>
      </c>
      <c r="G100" s="26" t="s">
        <v>6224</v>
      </c>
      <c r="H100" s="26" t="s">
        <v>6223</v>
      </c>
      <c r="I100" s="26" t="s">
        <v>6225</v>
      </c>
      <c r="J100" s="26" t="s">
        <v>6224</v>
      </c>
      <c r="K100" s="27"/>
      <c r="L100" s="28" t="s">
        <v>6223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5838</v>
      </c>
      <c r="C101" s="25" t="s">
        <v>5839</v>
      </c>
      <c r="D101" s="23" t="s">
        <v>5833</v>
      </c>
      <c r="E101" s="46">
        <v>46125</v>
      </c>
      <c r="F101" s="26" t="s">
        <v>6222</v>
      </c>
      <c r="G101" s="26" t="s">
        <v>6224</v>
      </c>
      <c r="H101" s="26" t="s">
        <v>6223</v>
      </c>
      <c r="I101" s="26" t="s">
        <v>6225</v>
      </c>
      <c r="J101" s="26" t="s">
        <v>6224</v>
      </c>
      <c r="K101" s="27"/>
      <c r="L101" s="28" t="s">
        <v>6223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5840</v>
      </c>
      <c r="C102" s="44" t="s">
        <v>5841</v>
      </c>
      <c r="D102" s="42" t="s">
        <v>5833</v>
      </c>
      <c r="E102" s="46">
        <v>46125</v>
      </c>
      <c r="F102" s="26" t="s">
        <v>6222</v>
      </c>
      <c r="G102" s="26" t="s">
        <v>6224</v>
      </c>
      <c r="H102" s="26" t="s">
        <v>6223</v>
      </c>
      <c r="I102" s="26" t="s">
        <v>6225</v>
      </c>
      <c r="J102" s="26" t="s">
        <v>6224</v>
      </c>
      <c r="K102" s="27"/>
      <c r="L102" s="28" t="s">
        <v>6223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5842</v>
      </c>
      <c r="C103" s="25" t="s">
        <v>5843</v>
      </c>
      <c r="D103" s="23" t="s">
        <v>5833</v>
      </c>
      <c r="E103" s="46">
        <v>46125</v>
      </c>
      <c r="F103" s="26" t="s">
        <v>6222</v>
      </c>
      <c r="G103" s="26" t="s">
        <v>6224</v>
      </c>
      <c r="H103" s="26" t="s">
        <v>6223</v>
      </c>
      <c r="I103" s="26" t="s">
        <v>6225</v>
      </c>
      <c r="J103" s="26" t="s">
        <v>6224</v>
      </c>
      <c r="K103" s="27"/>
      <c r="L103" s="28" t="s">
        <v>6223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5844</v>
      </c>
      <c r="C104" s="44" t="s">
        <v>5845</v>
      </c>
      <c r="D104" s="42" t="s">
        <v>5833</v>
      </c>
      <c r="E104" s="46">
        <v>46125</v>
      </c>
      <c r="F104" s="26" t="s">
        <v>6222</v>
      </c>
      <c r="G104" s="26" t="s">
        <v>6224</v>
      </c>
      <c r="H104" s="26" t="s">
        <v>6223</v>
      </c>
      <c r="I104" s="26" t="s">
        <v>6225</v>
      </c>
      <c r="J104" s="26" t="s">
        <v>6224</v>
      </c>
      <c r="K104" s="27"/>
      <c r="L104" s="28" t="s">
        <v>6223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5846</v>
      </c>
      <c r="C105" s="25" t="s">
        <v>5847</v>
      </c>
      <c r="D105" s="23" t="s">
        <v>5833</v>
      </c>
      <c r="E105" s="46">
        <v>46125</v>
      </c>
      <c r="F105" s="26" t="s">
        <v>6222</v>
      </c>
      <c r="G105" s="26" t="s">
        <v>6224</v>
      </c>
      <c r="H105" s="26" t="s">
        <v>6223</v>
      </c>
      <c r="I105" s="26" t="s">
        <v>6225</v>
      </c>
      <c r="J105" s="26" t="s">
        <v>6224</v>
      </c>
      <c r="K105" s="27"/>
      <c r="L105" s="28" t="s">
        <v>6223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5848</v>
      </c>
      <c r="C106" s="44" t="s">
        <v>5849</v>
      </c>
      <c r="D106" s="42" t="s">
        <v>5833</v>
      </c>
      <c r="E106" s="46">
        <v>46125</v>
      </c>
      <c r="F106" s="26" t="s">
        <v>6222</v>
      </c>
      <c r="G106" s="26" t="s">
        <v>6224</v>
      </c>
      <c r="H106" s="26" t="s">
        <v>6223</v>
      </c>
      <c r="I106" s="26" t="s">
        <v>6225</v>
      </c>
      <c r="J106" s="26" t="s">
        <v>6224</v>
      </c>
      <c r="K106" s="27"/>
      <c r="L106" s="28" t="s">
        <v>6223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5850</v>
      </c>
      <c r="C107" s="25" t="s">
        <v>5851</v>
      </c>
      <c r="D107" s="23" t="s">
        <v>5833</v>
      </c>
      <c r="E107" s="46">
        <v>46125</v>
      </c>
      <c r="F107" s="26" t="s">
        <v>6222</v>
      </c>
      <c r="G107" s="26" t="s">
        <v>6224</v>
      </c>
      <c r="H107" s="26" t="s">
        <v>6223</v>
      </c>
      <c r="I107" s="26" t="s">
        <v>6225</v>
      </c>
      <c r="J107" s="26" t="s">
        <v>6224</v>
      </c>
      <c r="K107" s="27"/>
      <c r="L107" s="28" t="s">
        <v>6223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5852</v>
      </c>
      <c r="C108" s="44" t="s">
        <v>5853</v>
      </c>
      <c r="D108" s="42" t="s">
        <v>5833</v>
      </c>
      <c r="E108" s="46">
        <v>46125</v>
      </c>
      <c r="F108" s="26" t="s">
        <v>6222</v>
      </c>
      <c r="G108" s="26" t="s">
        <v>6224</v>
      </c>
      <c r="H108" s="26" t="s">
        <v>6223</v>
      </c>
      <c r="I108" s="26" t="s">
        <v>6225</v>
      </c>
      <c r="J108" s="26" t="s">
        <v>6224</v>
      </c>
      <c r="K108" s="27"/>
      <c r="L108" s="28" t="s">
        <v>6223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5854</v>
      </c>
      <c r="C109" s="25" t="s">
        <v>5855</v>
      </c>
      <c r="D109" s="23" t="s">
        <v>5833</v>
      </c>
      <c r="E109" s="46">
        <v>46125</v>
      </c>
      <c r="F109" s="26" t="s">
        <v>6222</v>
      </c>
      <c r="G109" s="26" t="s">
        <v>6224</v>
      </c>
      <c r="H109" s="26" t="s">
        <v>6223</v>
      </c>
      <c r="I109" s="26" t="s">
        <v>6225</v>
      </c>
      <c r="J109" s="26" t="s">
        <v>6224</v>
      </c>
      <c r="K109" s="27"/>
      <c r="L109" s="28" t="s">
        <v>6223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5856</v>
      </c>
      <c r="C110" s="44" t="s">
        <v>5857</v>
      </c>
      <c r="D110" s="42" t="s">
        <v>5833</v>
      </c>
      <c r="E110" s="46">
        <v>46125</v>
      </c>
      <c r="F110" s="26" t="s">
        <v>6222</v>
      </c>
      <c r="G110" s="26" t="s">
        <v>6224</v>
      </c>
      <c r="H110" s="26" t="s">
        <v>6223</v>
      </c>
      <c r="I110" s="26" t="s">
        <v>6225</v>
      </c>
      <c r="J110" s="26" t="s">
        <v>6224</v>
      </c>
      <c r="K110" s="27"/>
      <c r="L110" s="28" t="s">
        <v>6223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5858</v>
      </c>
      <c r="C111" s="25" t="s">
        <v>5859</v>
      </c>
      <c r="D111" s="23" t="s">
        <v>5833</v>
      </c>
      <c r="E111" s="46">
        <v>46125</v>
      </c>
      <c r="F111" s="26" t="s">
        <v>6222</v>
      </c>
      <c r="G111" s="26" t="s">
        <v>6224</v>
      </c>
      <c r="H111" s="26" t="s">
        <v>6223</v>
      </c>
      <c r="I111" s="26" t="s">
        <v>6225</v>
      </c>
      <c r="J111" s="26" t="s">
        <v>6224</v>
      </c>
      <c r="K111" s="27"/>
      <c r="L111" s="28" t="s">
        <v>6223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5860</v>
      </c>
      <c r="C112" s="44" t="s">
        <v>5861</v>
      </c>
      <c r="D112" s="42" t="s">
        <v>5833</v>
      </c>
      <c r="E112" s="46">
        <v>46125</v>
      </c>
      <c r="F112" s="26" t="s">
        <v>6222</v>
      </c>
      <c r="G112" s="26" t="s">
        <v>6224</v>
      </c>
      <c r="H112" s="26" t="s">
        <v>6223</v>
      </c>
      <c r="I112" s="26" t="s">
        <v>6225</v>
      </c>
      <c r="J112" s="26" t="s">
        <v>6224</v>
      </c>
      <c r="K112" s="27"/>
      <c r="L112" s="28" t="s">
        <v>6223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5862</v>
      </c>
      <c r="C113" s="25" t="s">
        <v>5863</v>
      </c>
      <c r="D113" s="23" t="s">
        <v>5833</v>
      </c>
      <c r="E113" s="46">
        <v>46125</v>
      </c>
      <c r="F113" s="26" t="s">
        <v>6222</v>
      </c>
      <c r="G113" s="26" t="s">
        <v>6224</v>
      </c>
      <c r="H113" s="26" t="s">
        <v>6223</v>
      </c>
      <c r="I113" s="26" t="s">
        <v>6225</v>
      </c>
      <c r="J113" s="26" t="s">
        <v>6224</v>
      </c>
      <c r="K113" s="27"/>
      <c r="L113" s="28" t="s">
        <v>6223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5864</v>
      </c>
      <c r="C114" s="44" t="s">
        <v>5865</v>
      </c>
      <c r="D114" s="42" t="s">
        <v>5833</v>
      </c>
      <c r="E114" s="46">
        <v>46125</v>
      </c>
      <c r="F114" s="26" t="s">
        <v>6222</v>
      </c>
      <c r="G114" s="26" t="s">
        <v>6224</v>
      </c>
      <c r="H114" s="26" t="s">
        <v>6223</v>
      </c>
      <c r="I114" s="26" t="s">
        <v>6225</v>
      </c>
      <c r="J114" s="26" t="s">
        <v>6224</v>
      </c>
      <c r="K114" s="27"/>
      <c r="L114" s="28" t="s">
        <v>6223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5866</v>
      </c>
      <c r="C115" s="25" t="s">
        <v>5867</v>
      </c>
      <c r="D115" s="23" t="s">
        <v>5833</v>
      </c>
      <c r="E115" s="46">
        <v>46125</v>
      </c>
      <c r="F115" s="26" t="s">
        <v>6222</v>
      </c>
      <c r="G115" s="26" t="s">
        <v>6224</v>
      </c>
      <c r="H115" s="26" t="s">
        <v>6223</v>
      </c>
      <c r="I115" s="26" t="s">
        <v>6225</v>
      </c>
      <c r="J115" s="26" t="s">
        <v>6224</v>
      </c>
      <c r="K115" s="27"/>
      <c r="L115" s="28" t="s">
        <v>6223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5868</v>
      </c>
      <c r="C116" s="44" t="s">
        <v>5869</v>
      </c>
      <c r="D116" s="42" t="s">
        <v>5833</v>
      </c>
      <c r="E116" s="46">
        <v>46125</v>
      </c>
      <c r="F116" s="26" t="s">
        <v>6222</v>
      </c>
      <c r="G116" s="26" t="s">
        <v>6224</v>
      </c>
      <c r="H116" s="26" t="s">
        <v>6223</v>
      </c>
      <c r="I116" s="26" t="s">
        <v>6225</v>
      </c>
      <c r="J116" s="26" t="s">
        <v>6224</v>
      </c>
      <c r="K116" s="27"/>
      <c r="L116" s="28" t="s">
        <v>6223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5870</v>
      </c>
      <c r="C117" s="25" t="s">
        <v>5871</v>
      </c>
      <c r="D117" s="23" t="s">
        <v>5833</v>
      </c>
      <c r="E117" s="46">
        <v>46125</v>
      </c>
      <c r="F117" s="26" t="s">
        <v>6222</v>
      </c>
      <c r="G117" s="26" t="s">
        <v>6224</v>
      </c>
      <c r="H117" s="26" t="s">
        <v>6223</v>
      </c>
      <c r="I117" s="26" t="s">
        <v>6225</v>
      </c>
      <c r="J117" s="26" t="s">
        <v>6224</v>
      </c>
      <c r="K117" s="27"/>
      <c r="L117" s="28" t="s">
        <v>6223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5872</v>
      </c>
      <c r="C118" s="44" t="s">
        <v>5873</v>
      </c>
      <c r="D118" s="42" t="s">
        <v>5833</v>
      </c>
      <c r="E118" s="46">
        <v>46125</v>
      </c>
      <c r="F118" s="26" t="s">
        <v>6222</v>
      </c>
      <c r="G118" s="26" t="s">
        <v>6224</v>
      </c>
      <c r="H118" s="26" t="s">
        <v>6223</v>
      </c>
      <c r="I118" s="26" t="s">
        <v>6225</v>
      </c>
      <c r="J118" s="26" t="s">
        <v>6224</v>
      </c>
      <c r="K118" s="27"/>
      <c r="L118" s="28" t="s">
        <v>6223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5874</v>
      </c>
      <c r="C119" s="25" t="s">
        <v>5875</v>
      </c>
      <c r="D119" s="23" t="s">
        <v>5833</v>
      </c>
      <c r="E119" s="46">
        <v>46125</v>
      </c>
      <c r="F119" s="26" t="s">
        <v>6222</v>
      </c>
      <c r="G119" s="26" t="s">
        <v>6224</v>
      </c>
      <c r="H119" s="26" t="s">
        <v>6223</v>
      </c>
      <c r="I119" s="26" t="s">
        <v>6225</v>
      </c>
      <c r="J119" s="26" t="s">
        <v>6224</v>
      </c>
      <c r="K119" s="27"/>
      <c r="L119" s="28" t="s">
        <v>6223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5876</v>
      </c>
      <c r="C120" s="44" t="s">
        <v>5877</v>
      </c>
      <c r="D120" s="42" t="s">
        <v>5833</v>
      </c>
      <c r="E120" s="46">
        <v>46125</v>
      </c>
      <c r="F120" s="26" t="s">
        <v>6222</v>
      </c>
      <c r="G120" s="26" t="s">
        <v>6224</v>
      </c>
      <c r="H120" s="26" t="s">
        <v>6223</v>
      </c>
      <c r="I120" s="26" t="s">
        <v>6225</v>
      </c>
      <c r="J120" s="26" t="s">
        <v>6224</v>
      </c>
      <c r="K120" s="27"/>
      <c r="L120" s="28" t="s">
        <v>6223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5878</v>
      </c>
      <c r="C121" s="25" t="s">
        <v>5879</v>
      </c>
      <c r="D121" s="23" t="s">
        <v>5833</v>
      </c>
      <c r="E121" s="46">
        <v>46125</v>
      </c>
      <c r="F121" s="26" t="s">
        <v>6222</v>
      </c>
      <c r="G121" s="26" t="s">
        <v>6224</v>
      </c>
      <c r="H121" s="26" t="s">
        <v>6223</v>
      </c>
      <c r="I121" s="26" t="s">
        <v>6225</v>
      </c>
      <c r="J121" s="26" t="s">
        <v>6224</v>
      </c>
      <c r="K121" s="27"/>
      <c r="L121" s="28" t="s">
        <v>6223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5880</v>
      </c>
      <c r="C122" s="44" t="s">
        <v>5881</v>
      </c>
      <c r="D122" s="42" t="s">
        <v>5833</v>
      </c>
      <c r="E122" s="46">
        <v>46125</v>
      </c>
      <c r="F122" s="26" t="s">
        <v>6222</v>
      </c>
      <c r="G122" s="26" t="s">
        <v>6224</v>
      </c>
      <c r="H122" s="26" t="s">
        <v>6223</v>
      </c>
      <c r="I122" s="26" t="s">
        <v>6225</v>
      </c>
      <c r="J122" s="26" t="s">
        <v>6224</v>
      </c>
      <c r="K122" s="27"/>
      <c r="L122" s="28" t="s">
        <v>6223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5882</v>
      </c>
      <c r="C123" s="25" t="s">
        <v>5883</v>
      </c>
      <c r="D123" s="23" t="s">
        <v>5833</v>
      </c>
      <c r="E123" s="46">
        <v>46125</v>
      </c>
      <c r="F123" s="26" t="s">
        <v>6222</v>
      </c>
      <c r="G123" s="26" t="s">
        <v>6224</v>
      </c>
      <c r="H123" s="26" t="s">
        <v>6223</v>
      </c>
      <c r="I123" s="26" t="s">
        <v>6225</v>
      </c>
      <c r="J123" s="26" t="s">
        <v>6224</v>
      </c>
      <c r="K123" s="27"/>
      <c r="L123" s="28" t="s">
        <v>6223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5884</v>
      </c>
      <c r="C124" s="44" t="s">
        <v>5885</v>
      </c>
      <c r="D124" s="42" t="s">
        <v>5833</v>
      </c>
      <c r="E124" s="46">
        <v>46125</v>
      </c>
      <c r="F124" s="26" t="s">
        <v>6222</v>
      </c>
      <c r="G124" s="26" t="s">
        <v>6224</v>
      </c>
      <c r="H124" s="26" t="s">
        <v>6223</v>
      </c>
      <c r="I124" s="26" t="s">
        <v>6225</v>
      </c>
      <c r="J124" s="26" t="s">
        <v>6224</v>
      </c>
      <c r="K124" s="27"/>
      <c r="L124" s="28" t="s">
        <v>6223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5886</v>
      </c>
      <c r="C125" s="25" t="s">
        <v>5887</v>
      </c>
      <c r="D125" s="23" t="s">
        <v>5833</v>
      </c>
      <c r="E125" s="46">
        <v>46125</v>
      </c>
      <c r="F125" s="26" t="s">
        <v>6222</v>
      </c>
      <c r="G125" s="26" t="s">
        <v>6224</v>
      </c>
      <c r="H125" s="26" t="s">
        <v>6223</v>
      </c>
      <c r="I125" s="26" t="s">
        <v>6225</v>
      </c>
      <c r="J125" s="26" t="s">
        <v>6224</v>
      </c>
      <c r="K125" s="27"/>
      <c r="L125" s="28" t="s">
        <v>6223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5888</v>
      </c>
      <c r="C126" s="44" t="s">
        <v>5889</v>
      </c>
      <c r="D126" s="42" t="s">
        <v>5833</v>
      </c>
      <c r="E126" s="46">
        <v>46125</v>
      </c>
      <c r="F126" s="26" t="s">
        <v>6222</v>
      </c>
      <c r="G126" s="26" t="s">
        <v>6224</v>
      </c>
      <c r="H126" s="26" t="s">
        <v>6223</v>
      </c>
      <c r="I126" s="26" t="s">
        <v>6225</v>
      </c>
      <c r="J126" s="26" t="s">
        <v>6224</v>
      </c>
      <c r="K126" s="27"/>
      <c r="L126" s="28" t="s">
        <v>6223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5890</v>
      </c>
      <c r="C127" s="25" t="s">
        <v>5891</v>
      </c>
      <c r="D127" s="23" t="s">
        <v>5833</v>
      </c>
      <c r="E127" s="46">
        <v>46125</v>
      </c>
      <c r="F127" s="26" t="s">
        <v>6222</v>
      </c>
      <c r="G127" s="26" t="s">
        <v>6224</v>
      </c>
      <c r="H127" s="26" t="s">
        <v>6223</v>
      </c>
      <c r="I127" s="26" t="s">
        <v>6225</v>
      </c>
      <c r="J127" s="26" t="s">
        <v>6224</v>
      </c>
      <c r="K127" s="27"/>
      <c r="L127" s="28" t="s">
        <v>6223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5892</v>
      </c>
      <c r="C128" s="44" t="s">
        <v>5893</v>
      </c>
      <c r="D128" s="42" t="s">
        <v>5833</v>
      </c>
      <c r="E128" s="46">
        <v>46125</v>
      </c>
      <c r="F128" s="26" t="s">
        <v>6222</v>
      </c>
      <c r="G128" s="26" t="s">
        <v>6224</v>
      </c>
      <c r="H128" s="26" t="s">
        <v>6223</v>
      </c>
      <c r="I128" s="26" t="s">
        <v>6225</v>
      </c>
      <c r="J128" s="26" t="s">
        <v>6224</v>
      </c>
      <c r="K128" s="27"/>
      <c r="L128" s="28" t="s">
        <v>6223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5894</v>
      </c>
      <c r="C129" s="25" t="s">
        <v>5895</v>
      </c>
      <c r="D129" s="23" t="s">
        <v>5833</v>
      </c>
      <c r="E129" s="46">
        <v>46125</v>
      </c>
      <c r="F129" s="26" t="s">
        <v>6222</v>
      </c>
      <c r="G129" s="26" t="s">
        <v>6224</v>
      </c>
      <c r="H129" s="26" t="s">
        <v>6223</v>
      </c>
      <c r="I129" s="26" t="s">
        <v>6225</v>
      </c>
      <c r="J129" s="26" t="s">
        <v>6224</v>
      </c>
      <c r="K129" s="27"/>
      <c r="L129" s="28" t="s">
        <v>6223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5896</v>
      </c>
      <c r="C130" s="44" t="s">
        <v>5897</v>
      </c>
      <c r="D130" s="42" t="s">
        <v>5833</v>
      </c>
      <c r="E130" s="46">
        <v>46125</v>
      </c>
      <c r="F130" s="26" t="s">
        <v>6222</v>
      </c>
      <c r="G130" s="26" t="s">
        <v>6224</v>
      </c>
      <c r="H130" s="26" t="s">
        <v>6223</v>
      </c>
      <c r="I130" s="26" t="s">
        <v>6225</v>
      </c>
      <c r="J130" s="26" t="s">
        <v>6224</v>
      </c>
      <c r="K130" s="27"/>
      <c r="L130" s="28" t="s">
        <v>6223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5898</v>
      </c>
      <c r="C131" s="25" t="s">
        <v>5899</v>
      </c>
      <c r="D131" s="23" t="s">
        <v>5833</v>
      </c>
      <c r="E131" s="46">
        <v>46125</v>
      </c>
      <c r="F131" s="26" t="s">
        <v>6222</v>
      </c>
      <c r="G131" s="26" t="s">
        <v>6224</v>
      </c>
      <c r="H131" s="26" t="s">
        <v>6223</v>
      </c>
      <c r="I131" s="26" t="s">
        <v>6225</v>
      </c>
      <c r="J131" s="26" t="s">
        <v>6224</v>
      </c>
      <c r="K131" s="27"/>
      <c r="L131" s="28" t="s">
        <v>6223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5900</v>
      </c>
      <c r="C132" s="44" t="s">
        <v>5901</v>
      </c>
      <c r="D132" s="42" t="s">
        <v>5833</v>
      </c>
      <c r="E132" s="46">
        <v>46125</v>
      </c>
      <c r="F132" s="26" t="s">
        <v>6222</v>
      </c>
      <c r="G132" s="26" t="s">
        <v>6224</v>
      </c>
      <c r="H132" s="26" t="s">
        <v>6223</v>
      </c>
      <c r="I132" s="26" t="s">
        <v>6225</v>
      </c>
      <c r="J132" s="26" t="s">
        <v>6224</v>
      </c>
      <c r="K132" s="27"/>
      <c r="L132" s="28" t="s">
        <v>6223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5902</v>
      </c>
      <c r="C133" s="25" t="s">
        <v>5903</v>
      </c>
      <c r="D133" s="23" t="s">
        <v>5833</v>
      </c>
      <c r="E133" s="46">
        <v>46125</v>
      </c>
      <c r="F133" s="26" t="s">
        <v>6222</v>
      </c>
      <c r="G133" s="26" t="s">
        <v>6224</v>
      </c>
      <c r="H133" s="26" t="s">
        <v>6223</v>
      </c>
      <c r="I133" s="26" t="s">
        <v>6225</v>
      </c>
      <c r="J133" s="26" t="s">
        <v>6224</v>
      </c>
      <c r="K133" s="27"/>
      <c r="L133" s="28" t="s">
        <v>6223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5904</v>
      </c>
      <c r="C134" s="44" t="s">
        <v>5905</v>
      </c>
      <c r="D134" s="42" t="s">
        <v>5833</v>
      </c>
      <c r="E134" s="46">
        <v>46125</v>
      </c>
      <c r="F134" s="26" t="s">
        <v>6222</v>
      </c>
      <c r="G134" s="26" t="s">
        <v>6224</v>
      </c>
      <c r="H134" s="26" t="s">
        <v>6223</v>
      </c>
      <c r="I134" s="26" t="s">
        <v>6225</v>
      </c>
      <c r="J134" s="26" t="s">
        <v>6224</v>
      </c>
      <c r="K134" s="27"/>
      <c r="L134" s="28" t="s">
        <v>6223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5906</v>
      </c>
      <c r="C135" s="25" t="s">
        <v>5907</v>
      </c>
      <c r="D135" s="23" t="s">
        <v>5833</v>
      </c>
      <c r="E135" s="46">
        <v>46125</v>
      </c>
      <c r="F135" s="26" t="s">
        <v>6222</v>
      </c>
      <c r="G135" s="26" t="s">
        <v>6224</v>
      </c>
      <c r="H135" s="26" t="s">
        <v>6223</v>
      </c>
      <c r="I135" s="26" t="s">
        <v>6225</v>
      </c>
      <c r="J135" s="26" t="s">
        <v>6224</v>
      </c>
      <c r="K135" s="27"/>
      <c r="L135" s="28" t="s">
        <v>6223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5908</v>
      </c>
      <c r="C136" s="44" t="s">
        <v>5909</v>
      </c>
      <c r="D136" s="42" t="s">
        <v>5833</v>
      </c>
      <c r="E136" s="46">
        <v>46125</v>
      </c>
      <c r="F136" s="26" t="s">
        <v>6222</v>
      </c>
      <c r="G136" s="26" t="s">
        <v>6224</v>
      </c>
      <c r="H136" s="26" t="s">
        <v>6223</v>
      </c>
      <c r="I136" s="26" t="s">
        <v>6225</v>
      </c>
      <c r="J136" s="26" t="s">
        <v>6224</v>
      </c>
      <c r="K136" s="27"/>
      <c r="L136" s="28" t="s">
        <v>6223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5910</v>
      </c>
      <c r="C137" s="25" t="s">
        <v>5911</v>
      </c>
      <c r="D137" s="23" t="s">
        <v>5833</v>
      </c>
      <c r="E137" s="46">
        <v>46125</v>
      </c>
      <c r="F137" s="26" t="s">
        <v>6222</v>
      </c>
      <c r="G137" s="26" t="s">
        <v>6224</v>
      </c>
      <c r="H137" s="26" t="s">
        <v>6223</v>
      </c>
      <c r="I137" s="26" t="s">
        <v>6225</v>
      </c>
      <c r="J137" s="26" t="s">
        <v>6224</v>
      </c>
      <c r="K137" s="27"/>
      <c r="L137" s="28" t="s">
        <v>6223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5912</v>
      </c>
      <c r="C138" s="44" t="s">
        <v>5913</v>
      </c>
      <c r="D138" s="42" t="s">
        <v>5833</v>
      </c>
      <c r="E138" s="46">
        <v>46125</v>
      </c>
      <c r="F138" s="26" t="s">
        <v>6222</v>
      </c>
      <c r="G138" s="26" t="s">
        <v>6224</v>
      </c>
      <c r="H138" s="26" t="s">
        <v>6223</v>
      </c>
      <c r="I138" s="26" t="s">
        <v>6225</v>
      </c>
      <c r="J138" s="26" t="s">
        <v>6224</v>
      </c>
      <c r="K138" s="27"/>
      <c r="L138" s="28" t="s">
        <v>6223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5914</v>
      </c>
      <c r="C139" s="25" t="s">
        <v>5915</v>
      </c>
      <c r="D139" s="23" t="s">
        <v>5833</v>
      </c>
      <c r="E139" s="46">
        <v>46125</v>
      </c>
      <c r="F139" s="26" t="s">
        <v>6222</v>
      </c>
      <c r="G139" s="26" t="s">
        <v>6224</v>
      </c>
      <c r="H139" s="26" t="s">
        <v>6223</v>
      </c>
      <c r="I139" s="26" t="s">
        <v>6225</v>
      </c>
      <c r="J139" s="26" t="s">
        <v>6224</v>
      </c>
      <c r="K139" s="27"/>
      <c r="L139" s="28" t="s">
        <v>6223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5916</v>
      </c>
      <c r="C140" s="44" t="s">
        <v>5917</v>
      </c>
      <c r="D140" s="42" t="s">
        <v>5833</v>
      </c>
      <c r="E140" s="46">
        <v>46125</v>
      </c>
      <c r="F140" s="26" t="s">
        <v>6222</v>
      </c>
      <c r="G140" s="26" t="s">
        <v>6224</v>
      </c>
      <c r="H140" s="26" t="s">
        <v>6223</v>
      </c>
      <c r="I140" s="26" t="s">
        <v>6225</v>
      </c>
      <c r="J140" s="26" t="s">
        <v>6224</v>
      </c>
      <c r="K140" s="27"/>
      <c r="L140" s="28" t="s">
        <v>6223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5918</v>
      </c>
      <c r="C141" s="25" t="s">
        <v>5919</v>
      </c>
      <c r="D141" s="23" t="s">
        <v>5833</v>
      </c>
      <c r="E141" s="46">
        <v>46125</v>
      </c>
      <c r="F141" s="26" t="s">
        <v>6222</v>
      </c>
      <c r="G141" s="26" t="s">
        <v>6224</v>
      </c>
      <c r="H141" s="26" t="s">
        <v>6223</v>
      </c>
      <c r="I141" s="26" t="s">
        <v>6225</v>
      </c>
      <c r="J141" s="26" t="s">
        <v>6224</v>
      </c>
      <c r="K141" s="27"/>
      <c r="L141" s="28" t="s">
        <v>6223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5920</v>
      </c>
      <c r="C142" s="44" t="s">
        <v>5921</v>
      </c>
      <c r="D142" s="42" t="s">
        <v>5833</v>
      </c>
      <c r="E142" s="46">
        <v>46125</v>
      </c>
      <c r="F142" s="26" t="s">
        <v>6222</v>
      </c>
      <c r="G142" s="26" t="s">
        <v>6224</v>
      </c>
      <c r="H142" s="26" t="s">
        <v>6223</v>
      </c>
      <c r="I142" s="26" t="s">
        <v>6225</v>
      </c>
      <c r="J142" s="26" t="s">
        <v>6224</v>
      </c>
      <c r="K142" s="27"/>
      <c r="L142" s="28" t="s">
        <v>6223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5922</v>
      </c>
      <c r="C143" s="25" t="s">
        <v>5923</v>
      </c>
      <c r="D143" s="23" t="s">
        <v>5833</v>
      </c>
      <c r="E143" s="46">
        <v>46125</v>
      </c>
      <c r="F143" s="26" t="s">
        <v>6222</v>
      </c>
      <c r="G143" s="26" t="s">
        <v>6224</v>
      </c>
      <c r="H143" s="26" t="s">
        <v>6223</v>
      </c>
      <c r="I143" s="26" t="s">
        <v>6225</v>
      </c>
      <c r="J143" s="26" t="s">
        <v>6224</v>
      </c>
      <c r="K143" s="27"/>
      <c r="L143" s="28" t="s">
        <v>6223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5924</v>
      </c>
      <c r="C144" s="44" t="s">
        <v>5925</v>
      </c>
      <c r="D144" s="42" t="s">
        <v>5833</v>
      </c>
      <c r="E144" s="46">
        <v>46125</v>
      </c>
      <c r="F144" s="26" t="s">
        <v>6222</v>
      </c>
      <c r="G144" s="26" t="s">
        <v>6224</v>
      </c>
      <c r="H144" s="26" t="s">
        <v>6223</v>
      </c>
      <c r="I144" s="26" t="s">
        <v>6225</v>
      </c>
      <c r="J144" s="26" t="s">
        <v>6224</v>
      </c>
      <c r="K144" s="27"/>
      <c r="L144" s="28" t="s">
        <v>6223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5926</v>
      </c>
      <c r="C145" s="25" t="s">
        <v>5927</v>
      </c>
      <c r="D145" s="23" t="s">
        <v>5833</v>
      </c>
      <c r="E145" s="46">
        <v>46125</v>
      </c>
      <c r="F145" s="26" t="s">
        <v>6222</v>
      </c>
      <c r="G145" s="26" t="s">
        <v>6224</v>
      </c>
      <c r="H145" s="26" t="s">
        <v>6223</v>
      </c>
      <c r="I145" s="26" t="s">
        <v>6225</v>
      </c>
      <c r="J145" s="26" t="s">
        <v>6224</v>
      </c>
      <c r="K145" s="27"/>
      <c r="L145" s="28" t="s">
        <v>6223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5928</v>
      </c>
      <c r="C146" s="44" t="s">
        <v>5929</v>
      </c>
      <c r="D146" s="42" t="s">
        <v>5833</v>
      </c>
      <c r="E146" s="46">
        <v>46125</v>
      </c>
      <c r="F146" s="26" t="s">
        <v>6222</v>
      </c>
      <c r="G146" s="26" t="s">
        <v>6224</v>
      </c>
      <c r="H146" s="26" t="s">
        <v>6223</v>
      </c>
      <c r="I146" s="26" t="s">
        <v>6225</v>
      </c>
      <c r="J146" s="26" t="s">
        <v>6224</v>
      </c>
      <c r="K146" s="27"/>
      <c r="L146" s="28" t="s">
        <v>6223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5930</v>
      </c>
      <c r="C147" s="25" t="s">
        <v>5931</v>
      </c>
      <c r="D147" s="23" t="s">
        <v>5833</v>
      </c>
      <c r="E147" s="46">
        <v>46125</v>
      </c>
      <c r="F147" s="26" t="s">
        <v>6222</v>
      </c>
      <c r="G147" s="26" t="s">
        <v>6224</v>
      </c>
      <c r="H147" s="26" t="s">
        <v>6223</v>
      </c>
      <c r="I147" s="26" t="s">
        <v>6225</v>
      </c>
      <c r="J147" s="26" t="s">
        <v>6224</v>
      </c>
      <c r="K147" s="27"/>
      <c r="L147" s="28" t="s">
        <v>6223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5932</v>
      </c>
      <c r="C148" s="44" t="s">
        <v>5933</v>
      </c>
      <c r="D148" s="42" t="s">
        <v>5833</v>
      </c>
      <c r="E148" s="46">
        <v>46125</v>
      </c>
      <c r="F148" s="26" t="s">
        <v>6222</v>
      </c>
      <c r="G148" s="26" t="s">
        <v>6224</v>
      </c>
      <c r="H148" s="26" t="s">
        <v>6223</v>
      </c>
      <c r="I148" s="26" t="s">
        <v>6225</v>
      </c>
      <c r="J148" s="26" t="s">
        <v>6224</v>
      </c>
      <c r="K148" s="27"/>
      <c r="L148" s="28" t="s">
        <v>6223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5934</v>
      </c>
      <c r="C149" s="25" t="s">
        <v>5935</v>
      </c>
      <c r="D149" s="23" t="s">
        <v>5833</v>
      </c>
      <c r="E149" s="46">
        <v>46125</v>
      </c>
      <c r="F149" s="26" t="s">
        <v>6222</v>
      </c>
      <c r="G149" s="26" t="s">
        <v>6224</v>
      </c>
      <c r="H149" s="26" t="s">
        <v>6223</v>
      </c>
      <c r="I149" s="26" t="s">
        <v>6225</v>
      </c>
      <c r="J149" s="26" t="s">
        <v>6224</v>
      </c>
      <c r="K149" s="27"/>
      <c r="L149" s="28" t="s">
        <v>6223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5936</v>
      </c>
      <c r="C150" s="44" t="s">
        <v>5937</v>
      </c>
      <c r="D150" s="42" t="s">
        <v>5833</v>
      </c>
      <c r="E150" s="46">
        <v>46125</v>
      </c>
      <c r="F150" s="26" t="s">
        <v>6222</v>
      </c>
      <c r="G150" s="26" t="s">
        <v>6224</v>
      </c>
      <c r="H150" s="26" t="s">
        <v>6223</v>
      </c>
      <c r="I150" s="26" t="s">
        <v>6225</v>
      </c>
      <c r="J150" s="26" t="s">
        <v>6224</v>
      </c>
      <c r="K150" s="27"/>
      <c r="L150" s="28" t="s">
        <v>6223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5938</v>
      </c>
      <c r="C151" s="25" t="s">
        <v>5939</v>
      </c>
      <c r="D151" s="23" t="s">
        <v>5833</v>
      </c>
      <c r="E151" s="46">
        <v>46125</v>
      </c>
      <c r="F151" s="26" t="s">
        <v>6222</v>
      </c>
      <c r="G151" s="26" t="s">
        <v>6224</v>
      </c>
      <c r="H151" s="26" t="s">
        <v>6223</v>
      </c>
      <c r="I151" s="26" t="s">
        <v>6225</v>
      </c>
      <c r="J151" s="26" t="s">
        <v>6224</v>
      </c>
      <c r="K151" s="27"/>
      <c r="L151" s="28" t="s">
        <v>6223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5940</v>
      </c>
      <c r="C152" s="44" t="s">
        <v>5941</v>
      </c>
      <c r="D152" s="42" t="s">
        <v>5833</v>
      </c>
      <c r="E152" s="46">
        <v>46125</v>
      </c>
      <c r="F152" s="26" t="s">
        <v>6222</v>
      </c>
      <c r="G152" s="26" t="s">
        <v>6224</v>
      </c>
      <c r="H152" s="26" t="s">
        <v>6223</v>
      </c>
      <c r="I152" s="26" t="s">
        <v>6225</v>
      </c>
      <c r="J152" s="26" t="s">
        <v>6224</v>
      </c>
      <c r="K152" s="27"/>
      <c r="L152" s="28" t="s">
        <v>6223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5942</v>
      </c>
      <c r="C153" s="25" t="s">
        <v>5943</v>
      </c>
      <c r="D153" s="23" t="s">
        <v>5833</v>
      </c>
      <c r="E153" s="46">
        <v>46125</v>
      </c>
      <c r="F153" s="26" t="s">
        <v>6222</v>
      </c>
      <c r="G153" s="26" t="s">
        <v>6224</v>
      </c>
      <c r="H153" s="26" t="s">
        <v>6223</v>
      </c>
      <c r="I153" s="26" t="s">
        <v>6225</v>
      </c>
      <c r="J153" s="26" t="s">
        <v>6224</v>
      </c>
      <c r="K153" s="27"/>
      <c r="L153" s="28" t="s">
        <v>6223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5944</v>
      </c>
      <c r="C154" s="44" t="s">
        <v>5945</v>
      </c>
      <c r="D154" s="42" t="s">
        <v>5833</v>
      </c>
      <c r="E154" s="46">
        <v>46125</v>
      </c>
      <c r="F154" s="26" t="s">
        <v>6222</v>
      </c>
      <c r="G154" s="26" t="s">
        <v>6224</v>
      </c>
      <c r="H154" s="26" t="s">
        <v>6223</v>
      </c>
      <c r="I154" s="26" t="s">
        <v>6225</v>
      </c>
      <c r="J154" s="26" t="s">
        <v>6224</v>
      </c>
      <c r="K154" s="27"/>
      <c r="L154" s="28" t="s">
        <v>6223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5946</v>
      </c>
      <c r="C155" s="25" t="s">
        <v>5947</v>
      </c>
      <c r="D155" s="23" t="s">
        <v>5833</v>
      </c>
      <c r="E155" s="46">
        <v>46125</v>
      </c>
      <c r="F155" s="26" t="s">
        <v>6222</v>
      </c>
      <c r="G155" s="26" t="s">
        <v>6224</v>
      </c>
      <c r="H155" s="26" t="s">
        <v>6223</v>
      </c>
      <c r="I155" s="26" t="s">
        <v>6225</v>
      </c>
      <c r="J155" s="26" t="s">
        <v>6224</v>
      </c>
      <c r="K155" s="27"/>
      <c r="L155" s="28" t="s">
        <v>6223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5948</v>
      </c>
      <c r="C156" s="44" t="s">
        <v>5949</v>
      </c>
      <c r="D156" s="42" t="s">
        <v>5833</v>
      </c>
      <c r="E156" s="46">
        <v>46125</v>
      </c>
      <c r="F156" s="26" t="s">
        <v>6222</v>
      </c>
      <c r="G156" s="26" t="s">
        <v>6224</v>
      </c>
      <c r="H156" s="26" t="s">
        <v>6223</v>
      </c>
      <c r="I156" s="26" t="s">
        <v>6225</v>
      </c>
      <c r="J156" s="26" t="s">
        <v>6224</v>
      </c>
      <c r="K156" s="27"/>
      <c r="L156" s="28" t="s">
        <v>6223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5950</v>
      </c>
      <c r="C157" s="25" t="s">
        <v>5951</v>
      </c>
      <c r="D157" s="23" t="s">
        <v>5833</v>
      </c>
      <c r="E157" s="46">
        <v>46125</v>
      </c>
      <c r="F157" s="26" t="s">
        <v>6222</v>
      </c>
      <c r="G157" s="26" t="s">
        <v>6224</v>
      </c>
      <c r="H157" s="26" t="s">
        <v>6223</v>
      </c>
      <c r="I157" s="26" t="s">
        <v>6225</v>
      </c>
      <c r="J157" s="26" t="s">
        <v>6224</v>
      </c>
      <c r="K157" s="27"/>
      <c r="L157" s="28" t="s">
        <v>6223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5952</v>
      </c>
      <c r="C158" s="44" t="s">
        <v>5953</v>
      </c>
      <c r="D158" s="42" t="s">
        <v>5833</v>
      </c>
      <c r="E158" s="46">
        <v>46125</v>
      </c>
      <c r="F158" s="26" t="s">
        <v>6222</v>
      </c>
      <c r="G158" s="26" t="s">
        <v>6224</v>
      </c>
      <c r="H158" s="26" t="s">
        <v>6223</v>
      </c>
      <c r="I158" s="26" t="s">
        <v>6225</v>
      </c>
      <c r="J158" s="26" t="s">
        <v>6224</v>
      </c>
      <c r="K158" s="27"/>
      <c r="L158" s="28" t="s">
        <v>6223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5954</v>
      </c>
      <c r="C159" s="25" t="s">
        <v>5955</v>
      </c>
      <c r="D159" s="23" t="s">
        <v>5833</v>
      </c>
      <c r="E159" s="46">
        <v>46125</v>
      </c>
      <c r="F159" s="26" t="s">
        <v>6222</v>
      </c>
      <c r="G159" s="26" t="s">
        <v>6224</v>
      </c>
      <c r="H159" s="26" t="s">
        <v>6223</v>
      </c>
      <c r="I159" s="26" t="s">
        <v>6225</v>
      </c>
      <c r="J159" s="26" t="s">
        <v>6224</v>
      </c>
      <c r="K159" s="27"/>
      <c r="L159" s="28" t="s">
        <v>6223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5956</v>
      </c>
      <c r="C160" s="44" t="s">
        <v>5957</v>
      </c>
      <c r="D160" s="42" t="s">
        <v>5833</v>
      </c>
      <c r="E160" s="46">
        <v>46125</v>
      </c>
      <c r="F160" s="26" t="s">
        <v>6222</v>
      </c>
      <c r="G160" s="26" t="s">
        <v>6224</v>
      </c>
      <c r="H160" s="26" t="s">
        <v>6223</v>
      </c>
      <c r="I160" s="26" t="s">
        <v>6225</v>
      </c>
      <c r="J160" s="26" t="s">
        <v>6224</v>
      </c>
      <c r="K160" s="27"/>
      <c r="L160" s="28" t="s">
        <v>6223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5958</v>
      </c>
      <c r="C161" s="25" t="s">
        <v>5959</v>
      </c>
      <c r="D161" s="23" t="s">
        <v>5833</v>
      </c>
      <c r="E161" s="46">
        <v>46125</v>
      </c>
      <c r="F161" s="26" t="s">
        <v>6222</v>
      </c>
      <c r="G161" s="26" t="s">
        <v>6224</v>
      </c>
      <c r="H161" s="26" t="s">
        <v>6223</v>
      </c>
      <c r="I161" s="26" t="s">
        <v>6225</v>
      </c>
      <c r="J161" s="26" t="s">
        <v>6224</v>
      </c>
      <c r="K161" s="27"/>
      <c r="L161" s="28" t="s">
        <v>6223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5960</v>
      </c>
      <c r="C162" s="44" t="s">
        <v>5961</v>
      </c>
      <c r="D162" s="42" t="s">
        <v>5833</v>
      </c>
      <c r="E162" s="46">
        <v>46125</v>
      </c>
      <c r="F162" s="26" t="s">
        <v>6222</v>
      </c>
      <c r="G162" s="26" t="s">
        <v>6224</v>
      </c>
      <c r="H162" s="26" t="s">
        <v>6223</v>
      </c>
      <c r="I162" s="26" t="s">
        <v>6225</v>
      </c>
      <c r="J162" s="26" t="s">
        <v>6224</v>
      </c>
      <c r="K162" s="27"/>
      <c r="L162" s="28" t="s">
        <v>6223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5962</v>
      </c>
      <c r="C163" s="25" t="s">
        <v>5963</v>
      </c>
      <c r="D163" s="23" t="s">
        <v>5833</v>
      </c>
      <c r="E163" s="46">
        <v>46125</v>
      </c>
      <c r="F163" s="26" t="s">
        <v>6222</v>
      </c>
      <c r="G163" s="26" t="s">
        <v>6224</v>
      </c>
      <c r="H163" s="26" t="s">
        <v>6223</v>
      </c>
      <c r="I163" s="26" t="s">
        <v>6225</v>
      </c>
      <c r="J163" s="26" t="s">
        <v>6224</v>
      </c>
      <c r="K163" s="27"/>
      <c r="L163" s="28" t="s">
        <v>6223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5964</v>
      </c>
      <c r="C164" s="44" t="s">
        <v>5965</v>
      </c>
      <c r="D164" s="42" t="s">
        <v>5833</v>
      </c>
      <c r="E164" s="46">
        <v>46125</v>
      </c>
      <c r="F164" s="26" t="s">
        <v>6222</v>
      </c>
      <c r="G164" s="26" t="s">
        <v>6224</v>
      </c>
      <c r="H164" s="26" t="s">
        <v>6223</v>
      </c>
      <c r="I164" s="26" t="s">
        <v>6225</v>
      </c>
      <c r="J164" s="26" t="s">
        <v>6224</v>
      </c>
      <c r="K164" s="27"/>
      <c r="L164" s="28" t="s">
        <v>6223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5966</v>
      </c>
      <c r="C165" s="25" t="s">
        <v>5967</v>
      </c>
      <c r="D165" s="23" t="s">
        <v>5833</v>
      </c>
      <c r="E165" s="46">
        <v>46125</v>
      </c>
      <c r="F165" s="26" t="s">
        <v>6222</v>
      </c>
      <c r="G165" s="26" t="s">
        <v>6224</v>
      </c>
      <c r="H165" s="26" t="s">
        <v>6223</v>
      </c>
      <c r="I165" s="26" t="s">
        <v>6225</v>
      </c>
      <c r="J165" s="26" t="s">
        <v>6224</v>
      </c>
      <c r="K165" s="27"/>
      <c r="L165" s="28" t="s">
        <v>6223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5968</v>
      </c>
      <c r="C166" s="44" t="s">
        <v>5969</v>
      </c>
      <c r="D166" s="42" t="s">
        <v>5833</v>
      </c>
      <c r="E166" s="46">
        <v>46125</v>
      </c>
      <c r="F166" s="26" t="s">
        <v>6222</v>
      </c>
      <c r="G166" s="26" t="s">
        <v>6224</v>
      </c>
      <c r="H166" s="26" t="s">
        <v>6223</v>
      </c>
      <c r="I166" s="26" t="s">
        <v>6225</v>
      </c>
      <c r="J166" s="26" t="s">
        <v>6224</v>
      </c>
      <c r="K166" s="27"/>
      <c r="L166" s="28" t="s">
        <v>6223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5970</v>
      </c>
      <c r="C167" s="25" t="s">
        <v>5971</v>
      </c>
      <c r="D167" s="23" t="s">
        <v>5833</v>
      </c>
      <c r="E167" s="46">
        <v>46125</v>
      </c>
      <c r="F167" s="26" t="s">
        <v>6222</v>
      </c>
      <c r="G167" s="26" t="s">
        <v>6224</v>
      </c>
      <c r="H167" s="26" t="s">
        <v>6223</v>
      </c>
      <c r="I167" s="26" t="s">
        <v>6225</v>
      </c>
      <c r="J167" s="26" t="s">
        <v>6224</v>
      </c>
      <c r="K167" s="27"/>
      <c r="L167" s="28" t="s">
        <v>6223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5972</v>
      </c>
      <c r="C168" s="44" t="s">
        <v>5973</v>
      </c>
      <c r="D168" s="42" t="s">
        <v>5833</v>
      </c>
      <c r="E168" s="46">
        <v>46125</v>
      </c>
      <c r="F168" s="26" t="s">
        <v>6222</v>
      </c>
      <c r="G168" s="26" t="s">
        <v>6224</v>
      </c>
      <c r="H168" s="26" t="s">
        <v>6223</v>
      </c>
      <c r="I168" s="26" t="s">
        <v>6225</v>
      </c>
      <c r="J168" s="26" t="s">
        <v>6224</v>
      </c>
      <c r="K168" s="27"/>
      <c r="L168" s="28" t="s">
        <v>6223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5974</v>
      </c>
      <c r="C169" s="25" t="s">
        <v>5975</v>
      </c>
      <c r="D169" s="23" t="s">
        <v>5833</v>
      </c>
      <c r="E169" s="46">
        <v>46125</v>
      </c>
      <c r="F169" s="26" t="s">
        <v>6222</v>
      </c>
      <c r="G169" s="26" t="s">
        <v>6224</v>
      </c>
      <c r="H169" s="26" t="s">
        <v>6223</v>
      </c>
      <c r="I169" s="26" t="s">
        <v>6225</v>
      </c>
      <c r="J169" s="26" t="s">
        <v>6224</v>
      </c>
      <c r="K169" s="27"/>
      <c r="L169" s="28" t="s">
        <v>6223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5976</v>
      </c>
      <c r="C170" s="44" t="s">
        <v>5977</v>
      </c>
      <c r="D170" s="42" t="s">
        <v>5833</v>
      </c>
      <c r="E170" s="46">
        <v>46125</v>
      </c>
      <c r="F170" s="26" t="s">
        <v>6222</v>
      </c>
      <c r="G170" s="26" t="s">
        <v>6224</v>
      </c>
      <c r="H170" s="26" t="s">
        <v>6223</v>
      </c>
      <c r="I170" s="26" t="s">
        <v>6225</v>
      </c>
      <c r="J170" s="26" t="s">
        <v>6224</v>
      </c>
      <c r="K170" s="27"/>
      <c r="L170" s="28" t="s">
        <v>6223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5978</v>
      </c>
      <c r="C171" s="25" t="s">
        <v>5979</v>
      </c>
      <c r="D171" s="23" t="s">
        <v>5833</v>
      </c>
      <c r="E171" s="46">
        <v>46125</v>
      </c>
      <c r="F171" s="26" t="s">
        <v>6222</v>
      </c>
      <c r="G171" s="26" t="s">
        <v>6224</v>
      </c>
      <c r="H171" s="26" t="s">
        <v>6223</v>
      </c>
      <c r="I171" s="26" t="s">
        <v>6225</v>
      </c>
      <c r="J171" s="26" t="s">
        <v>6224</v>
      </c>
      <c r="K171" s="27"/>
      <c r="L171" s="28" t="s">
        <v>6223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5980</v>
      </c>
      <c r="C172" s="44" t="s">
        <v>5981</v>
      </c>
      <c r="D172" s="42" t="s">
        <v>5833</v>
      </c>
      <c r="E172" s="46">
        <v>46125</v>
      </c>
      <c r="F172" s="26" t="s">
        <v>6222</v>
      </c>
      <c r="G172" s="26" t="s">
        <v>6224</v>
      </c>
      <c r="H172" s="26" t="s">
        <v>6223</v>
      </c>
      <c r="I172" s="26" t="s">
        <v>6225</v>
      </c>
      <c r="J172" s="26" t="s">
        <v>6224</v>
      </c>
      <c r="K172" s="27"/>
      <c r="L172" s="28" t="s">
        <v>6223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5982</v>
      </c>
      <c r="C173" s="25" t="s">
        <v>5983</v>
      </c>
      <c r="D173" s="23" t="s">
        <v>5833</v>
      </c>
      <c r="E173" s="46">
        <v>46125</v>
      </c>
      <c r="F173" s="26" t="s">
        <v>6222</v>
      </c>
      <c r="G173" s="26" t="s">
        <v>6224</v>
      </c>
      <c r="H173" s="26" t="s">
        <v>6223</v>
      </c>
      <c r="I173" s="26" t="s">
        <v>6225</v>
      </c>
      <c r="J173" s="26" t="s">
        <v>6224</v>
      </c>
      <c r="K173" s="27"/>
      <c r="L173" s="28" t="s">
        <v>6223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5984</v>
      </c>
      <c r="C174" s="44" t="s">
        <v>5985</v>
      </c>
      <c r="D174" s="42" t="s">
        <v>5833</v>
      </c>
      <c r="E174" s="46">
        <v>46125</v>
      </c>
      <c r="F174" s="26" t="s">
        <v>6222</v>
      </c>
      <c r="G174" s="26" t="s">
        <v>6224</v>
      </c>
      <c r="H174" s="26" t="s">
        <v>6223</v>
      </c>
      <c r="I174" s="26" t="s">
        <v>6225</v>
      </c>
      <c r="J174" s="26" t="s">
        <v>6224</v>
      </c>
      <c r="K174" s="27"/>
      <c r="L174" s="28" t="s">
        <v>6223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5986</v>
      </c>
      <c r="C175" s="25" t="s">
        <v>5987</v>
      </c>
      <c r="D175" s="23" t="s">
        <v>5833</v>
      </c>
      <c r="E175" s="46">
        <v>46125</v>
      </c>
      <c r="F175" s="26" t="s">
        <v>6222</v>
      </c>
      <c r="G175" s="26" t="s">
        <v>6224</v>
      </c>
      <c r="H175" s="26" t="s">
        <v>6223</v>
      </c>
      <c r="I175" s="26" t="s">
        <v>6225</v>
      </c>
      <c r="J175" s="26" t="s">
        <v>6224</v>
      </c>
      <c r="K175" s="27"/>
      <c r="L175" s="28" t="s">
        <v>6223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5988</v>
      </c>
      <c r="C176" s="44" t="s">
        <v>5989</v>
      </c>
      <c r="D176" s="42" t="s">
        <v>5833</v>
      </c>
      <c r="E176" s="46">
        <v>46125</v>
      </c>
      <c r="F176" s="26" t="s">
        <v>6222</v>
      </c>
      <c r="G176" s="26" t="s">
        <v>6224</v>
      </c>
      <c r="H176" s="26" t="s">
        <v>6223</v>
      </c>
      <c r="I176" s="26" t="s">
        <v>6225</v>
      </c>
      <c r="J176" s="26" t="s">
        <v>6224</v>
      </c>
      <c r="K176" s="27"/>
      <c r="L176" s="28" t="s">
        <v>6223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5990</v>
      </c>
      <c r="C177" s="25" t="s">
        <v>5991</v>
      </c>
      <c r="D177" s="23" t="s">
        <v>5833</v>
      </c>
      <c r="E177" s="46">
        <v>46125</v>
      </c>
      <c r="F177" s="26" t="s">
        <v>6222</v>
      </c>
      <c r="G177" s="26" t="s">
        <v>6224</v>
      </c>
      <c r="H177" s="26" t="s">
        <v>6223</v>
      </c>
      <c r="I177" s="26" t="s">
        <v>6225</v>
      </c>
      <c r="J177" s="26" t="s">
        <v>6224</v>
      </c>
      <c r="K177" s="27"/>
      <c r="L177" s="28" t="s">
        <v>6223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5992</v>
      </c>
      <c r="C178" s="44" t="s">
        <v>5993</v>
      </c>
      <c r="D178" s="42" t="s">
        <v>5833</v>
      </c>
      <c r="E178" s="46">
        <v>46125</v>
      </c>
      <c r="F178" s="26" t="s">
        <v>6222</v>
      </c>
      <c r="G178" s="26" t="s">
        <v>6224</v>
      </c>
      <c r="H178" s="26" t="s">
        <v>6223</v>
      </c>
      <c r="I178" s="26" t="s">
        <v>6225</v>
      </c>
      <c r="J178" s="26" t="s">
        <v>6224</v>
      </c>
      <c r="K178" s="27"/>
      <c r="L178" s="28" t="s">
        <v>6223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5994</v>
      </c>
      <c r="C179" s="25" t="s">
        <v>5995</v>
      </c>
      <c r="D179" s="23" t="s">
        <v>5833</v>
      </c>
      <c r="E179" s="46">
        <v>46125</v>
      </c>
      <c r="F179" s="26" t="s">
        <v>6222</v>
      </c>
      <c r="G179" s="26" t="s">
        <v>6224</v>
      </c>
      <c r="H179" s="26" t="s">
        <v>6223</v>
      </c>
      <c r="I179" s="26" t="s">
        <v>6225</v>
      </c>
      <c r="J179" s="26" t="s">
        <v>6224</v>
      </c>
      <c r="K179" s="27"/>
      <c r="L179" s="28" t="s">
        <v>6223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5996</v>
      </c>
      <c r="C180" s="44" t="s">
        <v>5997</v>
      </c>
      <c r="D180" s="42" t="s">
        <v>5833</v>
      </c>
      <c r="E180" s="46">
        <v>46125</v>
      </c>
      <c r="F180" s="26" t="s">
        <v>6222</v>
      </c>
      <c r="G180" s="26" t="s">
        <v>6224</v>
      </c>
      <c r="H180" s="26" t="s">
        <v>6223</v>
      </c>
      <c r="I180" s="26" t="s">
        <v>6225</v>
      </c>
      <c r="J180" s="26" t="s">
        <v>6224</v>
      </c>
      <c r="K180" s="27"/>
      <c r="L180" s="28" t="s">
        <v>6223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5998</v>
      </c>
      <c r="C181" s="25" t="s">
        <v>5999</v>
      </c>
      <c r="D181" s="23" t="s">
        <v>5833</v>
      </c>
      <c r="E181" s="46">
        <v>46125</v>
      </c>
      <c r="F181" s="26" t="s">
        <v>6222</v>
      </c>
      <c r="G181" s="26" t="s">
        <v>6224</v>
      </c>
      <c r="H181" s="26" t="s">
        <v>6223</v>
      </c>
      <c r="I181" s="26" t="s">
        <v>6225</v>
      </c>
      <c r="J181" s="26" t="s">
        <v>6224</v>
      </c>
      <c r="K181" s="27"/>
      <c r="L181" s="28" t="s">
        <v>6223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6000</v>
      </c>
      <c r="C182" s="44" t="s">
        <v>6001</v>
      </c>
      <c r="D182" s="42" t="s">
        <v>5833</v>
      </c>
      <c r="E182" s="46">
        <v>46125</v>
      </c>
      <c r="F182" s="26" t="s">
        <v>6222</v>
      </c>
      <c r="G182" s="26" t="s">
        <v>6224</v>
      </c>
      <c r="H182" s="26" t="s">
        <v>6223</v>
      </c>
      <c r="I182" s="26" t="s">
        <v>6225</v>
      </c>
      <c r="J182" s="26" t="s">
        <v>6224</v>
      </c>
      <c r="K182" s="27"/>
      <c r="L182" s="28" t="s">
        <v>6223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6002</v>
      </c>
      <c r="C183" s="25" t="s">
        <v>6003</v>
      </c>
      <c r="D183" s="23" t="s">
        <v>5833</v>
      </c>
      <c r="E183" s="46">
        <v>46125</v>
      </c>
      <c r="F183" s="26" t="s">
        <v>6222</v>
      </c>
      <c r="G183" s="26" t="s">
        <v>6224</v>
      </c>
      <c r="H183" s="26" t="s">
        <v>6223</v>
      </c>
      <c r="I183" s="26" t="s">
        <v>6225</v>
      </c>
      <c r="J183" s="26" t="s">
        <v>6224</v>
      </c>
      <c r="K183" s="27"/>
      <c r="L183" s="28" t="s">
        <v>6223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6004</v>
      </c>
      <c r="C184" s="44" t="s">
        <v>6005</v>
      </c>
      <c r="D184" s="42" t="s">
        <v>5833</v>
      </c>
      <c r="E184" s="46">
        <v>46125</v>
      </c>
      <c r="F184" s="26" t="s">
        <v>6222</v>
      </c>
      <c r="G184" s="26" t="s">
        <v>6224</v>
      </c>
      <c r="H184" s="26" t="s">
        <v>6223</v>
      </c>
      <c r="I184" s="26" t="s">
        <v>6225</v>
      </c>
      <c r="J184" s="26" t="s">
        <v>6224</v>
      </c>
      <c r="K184" s="27"/>
      <c r="L184" s="28" t="s">
        <v>6223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6006</v>
      </c>
      <c r="C185" s="25" t="s">
        <v>6007</v>
      </c>
      <c r="D185" s="23" t="s">
        <v>5833</v>
      </c>
      <c r="E185" s="46">
        <v>46125</v>
      </c>
      <c r="F185" s="26" t="s">
        <v>6222</v>
      </c>
      <c r="G185" s="26" t="s">
        <v>6224</v>
      </c>
      <c r="H185" s="26" t="s">
        <v>6223</v>
      </c>
      <c r="I185" s="26" t="s">
        <v>6225</v>
      </c>
      <c r="J185" s="26" t="s">
        <v>6224</v>
      </c>
      <c r="K185" s="27"/>
      <c r="L185" s="28" t="s">
        <v>6223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6008</v>
      </c>
      <c r="C186" s="44" t="s">
        <v>6009</v>
      </c>
      <c r="D186" s="42" t="s">
        <v>5833</v>
      </c>
      <c r="E186" s="46">
        <v>46125</v>
      </c>
      <c r="F186" s="26" t="s">
        <v>6222</v>
      </c>
      <c r="G186" s="26" t="s">
        <v>6224</v>
      </c>
      <c r="H186" s="26" t="s">
        <v>6223</v>
      </c>
      <c r="I186" s="26" t="s">
        <v>6225</v>
      </c>
      <c r="J186" s="26" t="s">
        <v>6224</v>
      </c>
      <c r="K186" s="27"/>
      <c r="L186" s="28" t="s">
        <v>6223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6010</v>
      </c>
      <c r="C187" s="25" t="s">
        <v>6011</v>
      </c>
      <c r="D187" s="23" t="s">
        <v>5833</v>
      </c>
      <c r="E187" s="46">
        <v>46125</v>
      </c>
      <c r="F187" s="26" t="s">
        <v>6222</v>
      </c>
      <c r="G187" s="26" t="s">
        <v>6224</v>
      </c>
      <c r="H187" s="26" t="s">
        <v>6223</v>
      </c>
      <c r="I187" s="26" t="s">
        <v>6225</v>
      </c>
      <c r="J187" s="26" t="s">
        <v>6224</v>
      </c>
      <c r="K187" s="27"/>
      <c r="L187" s="28" t="s">
        <v>6223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6012</v>
      </c>
      <c r="C188" s="44" t="s">
        <v>6013</v>
      </c>
      <c r="D188" s="42" t="s">
        <v>5833</v>
      </c>
      <c r="E188" s="46">
        <v>46125</v>
      </c>
      <c r="F188" s="26" t="s">
        <v>6222</v>
      </c>
      <c r="G188" s="26" t="s">
        <v>6224</v>
      </c>
      <c r="H188" s="26" t="s">
        <v>6223</v>
      </c>
      <c r="I188" s="26" t="s">
        <v>6225</v>
      </c>
      <c r="J188" s="26" t="s">
        <v>6224</v>
      </c>
      <c r="K188" s="27"/>
      <c r="L188" s="28" t="s">
        <v>6223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6014</v>
      </c>
      <c r="C189" s="25" t="s">
        <v>6015</v>
      </c>
      <c r="D189" s="23" t="s">
        <v>5833</v>
      </c>
      <c r="E189" s="46">
        <v>46125</v>
      </c>
      <c r="F189" s="26" t="s">
        <v>6222</v>
      </c>
      <c r="G189" s="26" t="s">
        <v>6224</v>
      </c>
      <c r="H189" s="26" t="s">
        <v>6223</v>
      </c>
      <c r="I189" s="26" t="s">
        <v>6225</v>
      </c>
      <c r="J189" s="26" t="s">
        <v>6224</v>
      </c>
      <c r="K189" s="27"/>
      <c r="L189" s="28" t="s">
        <v>6223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6016</v>
      </c>
      <c r="C190" s="44" t="s">
        <v>6017</v>
      </c>
      <c r="D190" s="42" t="s">
        <v>5833</v>
      </c>
      <c r="E190" s="46">
        <v>46125</v>
      </c>
      <c r="F190" s="26" t="s">
        <v>6222</v>
      </c>
      <c r="G190" s="26" t="s">
        <v>6224</v>
      </c>
      <c r="H190" s="26" t="s">
        <v>6223</v>
      </c>
      <c r="I190" s="26" t="s">
        <v>6225</v>
      </c>
      <c r="J190" s="26" t="s">
        <v>6224</v>
      </c>
      <c r="K190" s="27"/>
      <c r="L190" s="28" t="s">
        <v>6223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6018</v>
      </c>
      <c r="C191" s="25" t="s">
        <v>6019</v>
      </c>
      <c r="D191" s="23" t="s">
        <v>5833</v>
      </c>
      <c r="E191" s="46">
        <v>46125</v>
      </c>
      <c r="F191" s="26" t="s">
        <v>6222</v>
      </c>
      <c r="G191" s="26" t="s">
        <v>6224</v>
      </c>
      <c r="H191" s="26" t="s">
        <v>6223</v>
      </c>
      <c r="I191" s="26" t="s">
        <v>6225</v>
      </c>
      <c r="J191" s="26" t="s">
        <v>6224</v>
      </c>
      <c r="K191" s="27"/>
      <c r="L191" s="28" t="s">
        <v>6223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6020</v>
      </c>
      <c r="C192" s="44" t="s">
        <v>6021</v>
      </c>
      <c r="D192" s="42" t="s">
        <v>5833</v>
      </c>
      <c r="E192" s="46">
        <v>46125</v>
      </c>
      <c r="F192" s="26" t="s">
        <v>6222</v>
      </c>
      <c r="G192" s="26" t="s">
        <v>6224</v>
      </c>
      <c r="H192" s="26" t="s">
        <v>6223</v>
      </c>
      <c r="I192" s="26" t="s">
        <v>6225</v>
      </c>
      <c r="J192" s="26" t="s">
        <v>6224</v>
      </c>
      <c r="K192" s="27"/>
      <c r="L192" s="28" t="s">
        <v>6223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6022</v>
      </c>
      <c r="C193" s="25" t="s">
        <v>6023</v>
      </c>
      <c r="D193" s="23" t="s">
        <v>5833</v>
      </c>
      <c r="E193" s="46">
        <v>46125</v>
      </c>
      <c r="F193" s="26" t="s">
        <v>6222</v>
      </c>
      <c r="G193" s="26" t="s">
        <v>6224</v>
      </c>
      <c r="H193" s="26" t="s">
        <v>6223</v>
      </c>
      <c r="I193" s="26" t="s">
        <v>6225</v>
      </c>
      <c r="J193" s="26" t="s">
        <v>6224</v>
      </c>
      <c r="K193" s="27"/>
      <c r="L193" s="28" t="s">
        <v>6223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6024</v>
      </c>
      <c r="C194" s="44" t="s">
        <v>6025</v>
      </c>
      <c r="D194" s="42" t="s">
        <v>5833</v>
      </c>
      <c r="E194" s="46">
        <v>46125</v>
      </c>
      <c r="F194" s="26" t="s">
        <v>6222</v>
      </c>
      <c r="G194" s="26" t="s">
        <v>6224</v>
      </c>
      <c r="H194" s="26" t="s">
        <v>6223</v>
      </c>
      <c r="I194" s="26" t="s">
        <v>6225</v>
      </c>
      <c r="J194" s="26" t="s">
        <v>6224</v>
      </c>
      <c r="K194" s="27"/>
      <c r="L194" s="28" t="s">
        <v>6223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6026</v>
      </c>
      <c r="C195" s="25" t="s">
        <v>6027</v>
      </c>
      <c r="D195" s="23" t="s">
        <v>5833</v>
      </c>
      <c r="E195" s="46">
        <v>46125</v>
      </c>
      <c r="F195" s="26" t="s">
        <v>6222</v>
      </c>
      <c r="G195" s="26" t="s">
        <v>6224</v>
      </c>
      <c r="H195" s="26" t="s">
        <v>6223</v>
      </c>
      <c r="I195" s="26" t="s">
        <v>6225</v>
      </c>
      <c r="J195" s="26" t="s">
        <v>6224</v>
      </c>
      <c r="K195" s="27"/>
      <c r="L195" s="28" t="s">
        <v>6223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6028</v>
      </c>
      <c r="C196" s="44" t="s">
        <v>6029</v>
      </c>
      <c r="D196" s="42" t="s">
        <v>5833</v>
      </c>
      <c r="E196" s="46">
        <v>46125</v>
      </c>
      <c r="F196" s="26" t="s">
        <v>6222</v>
      </c>
      <c r="G196" s="26" t="s">
        <v>6224</v>
      </c>
      <c r="H196" s="26" t="s">
        <v>6223</v>
      </c>
      <c r="I196" s="26" t="s">
        <v>6225</v>
      </c>
      <c r="J196" s="26" t="s">
        <v>6224</v>
      </c>
      <c r="K196" s="27"/>
      <c r="L196" s="28" t="s">
        <v>6223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6030</v>
      </c>
      <c r="C197" s="25" t="s">
        <v>6031</v>
      </c>
      <c r="D197" s="23" t="s">
        <v>5833</v>
      </c>
      <c r="E197" s="46">
        <v>46125</v>
      </c>
      <c r="F197" s="26" t="s">
        <v>6222</v>
      </c>
      <c r="G197" s="26" t="s">
        <v>6224</v>
      </c>
      <c r="H197" s="26" t="s">
        <v>6223</v>
      </c>
      <c r="I197" s="26" t="s">
        <v>6225</v>
      </c>
      <c r="J197" s="26" t="s">
        <v>6224</v>
      </c>
      <c r="K197" s="27"/>
      <c r="L197" s="28" t="s">
        <v>6223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6032</v>
      </c>
      <c r="C198" s="44" t="s">
        <v>6033</v>
      </c>
      <c r="D198" s="42" t="s">
        <v>5833</v>
      </c>
      <c r="E198" s="46">
        <v>46125</v>
      </c>
      <c r="F198" s="26" t="s">
        <v>6222</v>
      </c>
      <c r="G198" s="26" t="s">
        <v>6224</v>
      </c>
      <c r="H198" s="26" t="s">
        <v>6223</v>
      </c>
      <c r="I198" s="26" t="s">
        <v>6225</v>
      </c>
      <c r="J198" s="26" t="s">
        <v>6224</v>
      </c>
      <c r="K198" s="27"/>
      <c r="L198" s="28" t="s">
        <v>6223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6034</v>
      </c>
      <c r="C199" s="25" t="s">
        <v>6035</v>
      </c>
      <c r="D199" s="23" t="s">
        <v>5833</v>
      </c>
      <c r="E199" s="46">
        <v>46125</v>
      </c>
      <c r="F199" s="26" t="s">
        <v>6222</v>
      </c>
      <c r="G199" s="26" t="s">
        <v>6224</v>
      </c>
      <c r="H199" s="26" t="s">
        <v>6223</v>
      </c>
      <c r="I199" s="26" t="s">
        <v>6225</v>
      </c>
      <c r="J199" s="26" t="s">
        <v>6224</v>
      </c>
      <c r="K199" s="27"/>
      <c r="L199" s="28" t="s">
        <v>6223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6036</v>
      </c>
      <c r="C200" s="44" t="s">
        <v>6037</v>
      </c>
      <c r="D200" s="42" t="s">
        <v>5833</v>
      </c>
      <c r="E200" s="46">
        <v>46125</v>
      </c>
      <c r="F200" s="26" t="s">
        <v>6222</v>
      </c>
      <c r="G200" s="26" t="s">
        <v>6224</v>
      </c>
      <c r="H200" s="26" t="s">
        <v>6223</v>
      </c>
      <c r="I200" s="26" t="s">
        <v>6225</v>
      </c>
      <c r="J200" s="26" t="s">
        <v>6224</v>
      </c>
      <c r="K200" s="27"/>
      <c r="L200" s="28" t="s">
        <v>6223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6038</v>
      </c>
      <c r="C201" s="25" t="s">
        <v>6039</v>
      </c>
      <c r="D201" s="23" t="s">
        <v>5833</v>
      </c>
      <c r="E201" s="46">
        <v>46125</v>
      </c>
      <c r="F201" s="26" t="s">
        <v>6222</v>
      </c>
      <c r="G201" s="26" t="s">
        <v>6224</v>
      </c>
      <c r="H201" s="26" t="s">
        <v>6223</v>
      </c>
      <c r="I201" s="26" t="s">
        <v>6225</v>
      </c>
      <c r="J201" s="26" t="s">
        <v>6224</v>
      </c>
      <c r="K201" s="27"/>
      <c r="L201" s="28" t="s">
        <v>6223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6040</v>
      </c>
      <c r="C202" s="44" t="s">
        <v>6041</v>
      </c>
      <c r="D202" s="42" t="s">
        <v>5833</v>
      </c>
      <c r="E202" s="46">
        <v>46125</v>
      </c>
      <c r="F202" s="26" t="s">
        <v>6222</v>
      </c>
      <c r="G202" s="26" t="s">
        <v>6224</v>
      </c>
      <c r="H202" s="26" t="s">
        <v>6223</v>
      </c>
      <c r="I202" s="26" t="s">
        <v>6225</v>
      </c>
      <c r="J202" s="26" t="s">
        <v>6224</v>
      </c>
      <c r="K202" s="27"/>
      <c r="L202" s="28" t="s">
        <v>6223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6042</v>
      </c>
      <c r="C203" s="25" t="s">
        <v>6043</v>
      </c>
      <c r="D203" s="23" t="s">
        <v>5833</v>
      </c>
      <c r="E203" s="46">
        <v>46125</v>
      </c>
      <c r="F203" s="26" t="s">
        <v>6222</v>
      </c>
      <c r="G203" s="26" t="s">
        <v>6224</v>
      </c>
      <c r="H203" s="26" t="s">
        <v>6223</v>
      </c>
      <c r="I203" s="26" t="s">
        <v>6225</v>
      </c>
      <c r="J203" s="26" t="s">
        <v>6224</v>
      </c>
      <c r="K203" s="27"/>
      <c r="L203" s="28" t="s">
        <v>6223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6044</v>
      </c>
      <c r="C204" s="44" t="s">
        <v>6045</v>
      </c>
      <c r="D204" s="42" t="s">
        <v>5833</v>
      </c>
      <c r="E204" s="46">
        <v>46125</v>
      </c>
      <c r="F204" s="26" t="s">
        <v>6222</v>
      </c>
      <c r="G204" s="26" t="s">
        <v>6224</v>
      </c>
      <c r="H204" s="26" t="s">
        <v>6223</v>
      </c>
      <c r="I204" s="26" t="s">
        <v>6225</v>
      </c>
      <c r="J204" s="26" t="s">
        <v>6224</v>
      </c>
      <c r="K204" s="27"/>
      <c r="L204" s="28" t="s">
        <v>6223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6046</v>
      </c>
      <c r="C205" s="25" t="s">
        <v>6047</v>
      </c>
      <c r="D205" s="23" t="s">
        <v>5833</v>
      </c>
      <c r="E205" s="46">
        <v>46125</v>
      </c>
      <c r="F205" s="26" t="s">
        <v>6222</v>
      </c>
      <c r="G205" s="26" t="s">
        <v>6224</v>
      </c>
      <c r="H205" s="26" t="s">
        <v>6223</v>
      </c>
      <c r="I205" s="26" t="s">
        <v>6225</v>
      </c>
      <c r="J205" s="26" t="s">
        <v>6224</v>
      </c>
      <c r="K205" s="27"/>
      <c r="L205" s="28" t="s">
        <v>6223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6048</v>
      </c>
      <c r="C206" s="44" t="s">
        <v>6049</v>
      </c>
      <c r="D206" s="42" t="s">
        <v>5833</v>
      </c>
      <c r="E206" s="46">
        <v>46125</v>
      </c>
      <c r="F206" s="26" t="s">
        <v>6222</v>
      </c>
      <c r="G206" s="26" t="s">
        <v>6224</v>
      </c>
      <c r="H206" s="26" t="s">
        <v>6223</v>
      </c>
      <c r="I206" s="26" t="s">
        <v>6225</v>
      </c>
      <c r="J206" s="26" t="s">
        <v>6224</v>
      </c>
      <c r="K206" s="27"/>
      <c r="L206" s="28" t="s">
        <v>6223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6050</v>
      </c>
      <c r="C207" s="25" t="s">
        <v>6051</v>
      </c>
      <c r="D207" s="23" t="s">
        <v>5833</v>
      </c>
      <c r="E207" s="46">
        <v>46125</v>
      </c>
      <c r="F207" s="26" t="s">
        <v>6222</v>
      </c>
      <c r="G207" s="26" t="s">
        <v>6224</v>
      </c>
      <c r="H207" s="26" t="s">
        <v>6223</v>
      </c>
      <c r="I207" s="26" t="s">
        <v>6225</v>
      </c>
      <c r="J207" s="26" t="s">
        <v>6224</v>
      </c>
      <c r="K207" s="27"/>
      <c r="L207" s="28" t="s">
        <v>6223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6052</v>
      </c>
      <c r="C208" s="44" t="s">
        <v>6053</v>
      </c>
      <c r="D208" s="42" t="s">
        <v>5833</v>
      </c>
      <c r="E208" s="46">
        <v>46125</v>
      </c>
      <c r="F208" s="26" t="s">
        <v>6222</v>
      </c>
      <c r="G208" s="26" t="s">
        <v>6224</v>
      </c>
      <c r="H208" s="26" t="s">
        <v>6223</v>
      </c>
      <c r="I208" s="26" t="s">
        <v>6225</v>
      </c>
      <c r="J208" s="26" t="s">
        <v>6224</v>
      </c>
      <c r="K208" s="27"/>
      <c r="L208" s="28" t="s">
        <v>6223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6054</v>
      </c>
      <c r="C209" s="25" t="s">
        <v>6055</v>
      </c>
      <c r="D209" s="23" t="s">
        <v>5833</v>
      </c>
      <c r="E209" s="46">
        <v>46125</v>
      </c>
      <c r="F209" s="26" t="s">
        <v>6222</v>
      </c>
      <c r="G209" s="26" t="s">
        <v>6224</v>
      </c>
      <c r="H209" s="26" t="s">
        <v>6223</v>
      </c>
      <c r="I209" s="26" t="s">
        <v>6225</v>
      </c>
      <c r="J209" s="26" t="s">
        <v>6224</v>
      </c>
      <c r="K209" s="27"/>
      <c r="L209" s="28" t="s">
        <v>6223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6056</v>
      </c>
      <c r="C210" s="44" t="s">
        <v>6057</v>
      </c>
      <c r="D210" s="42" t="s">
        <v>5833</v>
      </c>
      <c r="E210" s="46">
        <v>46125</v>
      </c>
      <c r="F210" s="26" t="s">
        <v>6222</v>
      </c>
      <c r="G210" s="26" t="s">
        <v>6224</v>
      </c>
      <c r="H210" s="26" t="s">
        <v>6223</v>
      </c>
      <c r="I210" s="26" t="s">
        <v>6225</v>
      </c>
      <c r="J210" s="26" t="s">
        <v>6224</v>
      </c>
      <c r="K210" s="27"/>
      <c r="L210" s="28" t="s">
        <v>6223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6058</v>
      </c>
      <c r="C211" s="25" t="s">
        <v>6059</v>
      </c>
      <c r="D211" s="23" t="s">
        <v>5833</v>
      </c>
      <c r="E211" s="46">
        <v>46125</v>
      </c>
      <c r="F211" s="26" t="s">
        <v>6222</v>
      </c>
      <c r="G211" s="26" t="s">
        <v>6224</v>
      </c>
      <c r="H211" s="26" t="s">
        <v>6223</v>
      </c>
      <c r="I211" s="26" t="s">
        <v>6225</v>
      </c>
      <c r="J211" s="26" t="s">
        <v>6224</v>
      </c>
      <c r="K211" s="27"/>
      <c r="L211" s="28" t="s">
        <v>6223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6060</v>
      </c>
      <c r="C212" s="44" t="s">
        <v>6061</v>
      </c>
      <c r="D212" s="42" t="s">
        <v>5833</v>
      </c>
      <c r="E212" s="46">
        <v>46125</v>
      </c>
      <c r="F212" s="26" t="s">
        <v>6222</v>
      </c>
      <c r="G212" s="26" t="s">
        <v>6224</v>
      </c>
      <c r="H212" s="26" t="s">
        <v>6223</v>
      </c>
      <c r="I212" s="26" t="s">
        <v>6225</v>
      </c>
      <c r="J212" s="26" t="s">
        <v>6224</v>
      </c>
      <c r="K212" s="27"/>
      <c r="L212" s="28" t="s">
        <v>6223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6062</v>
      </c>
      <c r="C213" s="25" t="s">
        <v>6063</v>
      </c>
      <c r="D213" s="23" t="s">
        <v>5833</v>
      </c>
      <c r="E213" s="46">
        <v>46125</v>
      </c>
      <c r="F213" s="26" t="s">
        <v>6222</v>
      </c>
      <c r="G213" s="26" t="s">
        <v>6224</v>
      </c>
      <c r="H213" s="26" t="s">
        <v>6223</v>
      </c>
      <c r="I213" s="26" t="s">
        <v>6225</v>
      </c>
      <c r="J213" s="26" t="s">
        <v>6224</v>
      </c>
      <c r="K213" s="27"/>
      <c r="L213" s="28" t="s">
        <v>6223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6064</v>
      </c>
      <c r="C214" s="44" t="s">
        <v>6065</v>
      </c>
      <c r="D214" s="42" t="s">
        <v>5833</v>
      </c>
      <c r="E214" s="46">
        <v>46125</v>
      </c>
      <c r="F214" s="26" t="s">
        <v>6222</v>
      </c>
      <c r="G214" s="26" t="s">
        <v>6224</v>
      </c>
      <c r="H214" s="26" t="s">
        <v>6223</v>
      </c>
      <c r="I214" s="26" t="s">
        <v>6225</v>
      </c>
      <c r="J214" s="26" t="s">
        <v>6224</v>
      </c>
      <c r="K214" s="27"/>
      <c r="L214" s="28" t="s">
        <v>6223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6066</v>
      </c>
      <c r="C215" s="25" t="s">
        <v>6067</v>
      </c>
      <c r="D215" s="23" t="s">
        <v>5833</v>
      </c>
      <c r="E215" s="46">
        <v>46125</v>
      </c>
      <c r="F215" s="26" t="s">
        <v>6222</v>
      </c>
      <c r="G215" s="26" t="s">
        <v>6224</v>
      </c>
      <c r="H215" s="26" t="s">
        <v>6223</v>
      </c>
      <c r="I215" s="26" t="s">
        <v>6225</v>
      </c>
      <c r="J215" s="26" t="s">
        <v>6224</v>
      </c>
      <c r="K215" s="27"/>
      <c r="L215" s="28" t="s">
        <v>6223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6068</v>
      </c>
      <c r="C216" s="44" t="s">
        <v>6069</v>
      </c>
      <c r="D216" s="42" t="s">
        <v>5833</v>
      </c>
      <c r="E216" s="46">
        <v>46125</v>
      </c>
      <c r="F216" s="26" t="s">
        <v>6222</v>
      </c>
      <c r="G216" s="26" t="s">
        <v>6224</v>
      </c>
      <c r="H216" s="26" t="s">
        <v>6223</v>
      </c>
      <c r="I216" s="26" t="s">
        <v>6225</v>
      </c>
      <c r="J216" s="26" t="s">
        <v>6224</v>
      </c>
      <c r="K216" s="27"/>
      <c r="L216" s="28" t="s">
        <v>6223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6070</v>
      </c>
      <c r="C217" s="25" t="s">
        <v>6071</v>
      </c>
      <c r="D217" s="23" t="s">
        <v>5833</v>
      </c>
      <c r="E217" s="46">
        <v>46125</v>
      </c>
      <c r="F217" s="26" t="s">
        <v>6222</v>
      </c>
      <c r="G217" s="26" t="s">
        <v>6224</v>
      </c>
      <c r="H217" s="26" t="s">
        <v>6223</v>
      </c>
      <c r="I217" s="26" t="s">
        <v>6225</v>
      </c>
      <c r="J217" s="26" t="s">
        <v>6224</v>
      </c>
      <c r="K217" s="27"/>
      <c r="L217" s="28" t="s">
        <v>6223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6072</v>
      </c>
      <c r="C218" s="44" t="s">
        <v>6073</v>
      </c>
      <c r="D218" s="42" t="s">
        <v>5833</v>
      </c>
      <c r="E218" s="46">
        <v>46125</v>
      </c>
      <c r="F218" s="26" t="s">
        <v>6222</v>
      </c>
      <c r="G218" s="26" t="s">
        <v>6224</v>
      </c>
      <c r="H218" s="26" t="s">
        <v>6223</v>
      </c>
      <c r="I218" s="26" t="s">
        <v>6225</v>
      </c>
      <c r="J218" s="26" t="s">
        <v>6224</v>
      </c>
      <c r="K218" s="27"/>
      <c r="L218" s="28" t="s">
        <v>6223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6074</v>
      </c>
      <c r="C219" s="25" t="s">
        <v>6075</v>
      </c>
      <c r="D219" s="23" t="s">
        <v>5833</v>
      </c>
      <c r="E219" s="46">
        <v>46125</v>
      </c>
      <c r="F219" s="26" t="s">
        <v>6222</v>
      </c>
      <c r="G219" s="26" t="s">
        <v>6224</v>
      </c>
      <c r="H219" s="26" t="s">
        <v>6223</v>
      </c>
      <c r="I219" s="26" t="s">
        <v>6225</v>
      </c>
      <c r="J219" s="26" t="s">
        <v>6224</v>
      </c>
      <c r="K219" s="27"/>
      <c r="L219" s="28" t="s">
        <v>6223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6076</v>
      </c>
      <c r="C220" s="44" t="s">
        <v>6077</v>
      </c>
      <c r="D220" s="42" t="s">
        <v>5833</v>
      </c>
      <c r="E220" s="46">
        <v>46125</v>
      </c>
      <c r="F220" s="26" t="s">
        <v>6222</v>
      </c>
      <c r="G220" s="26" t="s">
        <v>6224</v>
      </c>
      <c r="H220" s="26" t="s">
        <v>6223</v>
      </c>
      <c r="I220" s="26" t="s">
        <v>6225</v>
      </c>
      <c r="J220" s="26" t="s">
        <v>6224</v>
      </c>
      <c r="K220" s="27"/>
      <c r="L220" s="28" t="s">
        <v>6223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6078</v>
      </c>
      <c r="C221" s="25" t="s">
        <v>6079</v>
      </c>
      <c r="D221" s="23" t="s">
        <v>5833</v>
      </c>
      <c r="E221" s="46">
        <v>46125</v>
      </c>
      <c r="F221" s="26" t="s">
        <v>6222</v>
      </c>
      <c r="G221" s="26" t="s">
        <v>6224</v>
      </c>
      <c r="H221" s="26" t="s">
        <v>6223</v>
      </c>
      <c r="I221" s="26" t="s">
        <v>6225</v>
      </c>
      <c r="J221" s="26" t="s">
        <v>6224</v>
      </c>
      <c r="K221" s="27"/>
      <c r="L221" s="28" t="s">
        <v>6223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6080</v>
      </c>
      <c r="C222" s="44" t="s">
        <v>6081</v>
      </c>
      <c r="D222" s="42" t="s">
        <v>5833</v>
      </c>
      <c r="E222" s="46">
        <v>46125</v>
      </c>
      <c r="F222" s="26" t="s">
        <v>6222</v>
      </c>
      <c r="G222" s="26" t="s">
        <v>6224</v>
      </c>
      <c r="H222" s="26" t="s">
        <v>6223</v>
      </c>
      <c r="I222" s="26" t="s">
        <v>6225</v>
      </c>
      <c r="J222" s="26" t="s">
        <v>6224</v>
      </c>
      <c r="K222" s="27"/>
      <c r="L222" s="28" t="s">
        <v>6223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6082</v>
      </c>
      <c r="C223" s="25" t="s">
        <v>6083</v>
      </c>
      <c r="D223" s="23" t="s">
        <v>5833</v>
      </c>
      <c r="E223" s="46">
        <v>46125</v>
      </c>
      <c r="F223" s="26" t="s">
        <v>6222</v>
      </c>
      <c r="G223" s="26" t="s">
        <v>6224</v>
      </c>
      <c r="H223" s="26" t="s">
        <v>6223</v>
      </c>
      <c r="I223" s="26" t="s">
        <v>6225</v>
      </c>
      <c r="J223" s="26" t="s">
        <v>6224</v>
      </c>
      <c r="K223" s="27"/>
      <c r="L223" s="28" t="s">
        <v>6223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6084</v>
      </c>
      <c r="C224" s="44" t="s">
        <v>6085</v>
      </c>
      <c r="D224" s="42" t="s">
        <v>5833</v>
      </c>
      <c r="E224" s="46">
        <v>46125</v>
      </c>
      <c r="F224" s="26" t="s">
        <v>6222</v>
      </c>
      <c r="G224" s="26" t="s">
        <v>6224</v>
      </c>
      <c r="H224" s="26" t="s">
        <v>6223</v>
      </c>
      <c r="I224" s="26" t="s">
        <v>6225</v>
      </c>
      <c r="J224" s="26" t="s">
        <v>6224</v>
      </c>
      <c r="K224" s="27"/>
      <c r="L224" s="28" t="s">
        <v>6223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6086</v>
      </c>
      <c r="C225" s="25" t="s">
        <v>6087</v>
      </c>
      <c r="D225" s="23" t="s">
        <v>5833</v>
      </c>
      <c r="E225" s="46">
        <v>46125</v>
      </c>
      <c r="F225" s="26" t="s">
        <v>6222</v>
      </c>
      <c r="G225" s="26" t="s">
        <v>6224</v>
      </c>
      <c r="H225" s="26" t="s">
        <v>6223</v>
      </c>
      <c r="I225" s="26" t="s">
        <v>6225</v>
      </c>
      <c r="J225" s="26" t="s">
        <v>6224</v>
      </c>
      <c r="K225" s="27"/>
      <c r="L225" s="28" t="s">
        <v>6223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6088</v>
      </c>
      <c r="C226" s="44" t="s">
        <v>6089</v>
      </c>
      <c r="D226" s="42" t="s">
        <v>5833</v>
      </c>
      <c r="E226" s="46">
        <v>46125</v>
      </c>
      <c r="F226" s="26" t="s">
        <v>6222</v>
      </c>
      <c r="G226" s="26" t="s">
        <v>6224</v>
      </c>
      <c r="H226" s="26" t="s">
        <v>6223</v>
      </c>
      <c r="I226" s="26" t="s">
        <v>6225</v>
      </c>
      <c r="J226" s="26" t="s">
        <v>6224</v>
      </c>
      <c r="K226" s="27"/>
      <c r="L226" s="28" t="s">
        <v>6223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6090</v>
      </c>
      <c r="C227" s="25" t="s">
        <v>6091</v>
      </c>
      <c r="D227" s="23" t="s">
        <v>5833</v>
      </c>
      <c r="E227" s="46">
        <v>46125</v>
      </c>
      <c r="F227" s="26" t="s">
        <v>6222</v>
      </c>
      <c r="G227" s="26" t="s">
        <v>6224</v>
      </c>
      <c r="H227" s="26" t="s">
        <v>6223</v>
      </c>
      <c r="I227" s="26" t="s">
        <v>6225</v>
      </c>
      <c r="J227" s="26" t="s">
        <v>6224</v>
      </c>
      <c r="K227" s="27"/>
      <c r="L227" s="28" t="s">
        <v>6223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6092</v>
      </c>
      <c r="C228" s="44" t="s">
        <v>6093</v>
      </c>
      <c r="D228" s="42" t="s">
        <v>5833</v>
      </c>
      <c r="E228" s="46">
        <v>46125</v>
      </c>
      <c r="F228" s="26" t="s">
        <v>6222</v>
      </c>
      <c r="G228" s="26" t="s">
        <v>6224</v>
      </c>
      <c r="H228" s="26" t="s">
        <v>6223</v>
      </c>
      <c r="I228" s="26" t="s">
        <v>6225</v>
      </c>
      <c r="J228" s="26" t="s">
        <v>6224</v>
      </c>
      <c r="K228" s="27"/>
      <c r="L228" s="28" t="s">
        <v>6223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6094</v>
      </c>
      <c r="C229" s="25" t="s">
        <v>6095</v>
      </c>
      <c r="D229" s="23" t="s">
        <v>5833</v>
      </c>
      <c r="E229" s="46">
        <v>46125</v>
      </c>
      <c r="F229" s="26" t="s">
        <v>6222</v>
      </c>
      <c r="G229" s="26" t="s">
        <v>6224</v>
      </c>
      <c r="H229" s="26" t="s">
        <v>6223</v>
      </c>
      <c r="I229" s="26" t="s">
        <v>6225</v>
      </c>
      <c r="J229" s="26" t="s">
        <v>6224</v>
      </c>
      <c r="K229" s="27"/>
      <c r="L229" s="28" t="s">
        <v>6223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6096</v>
      </c>
      <c r="C230" s="44" t="s">
        <v>6097</v>
      </c>
      <c r="D230" s="42" t="s">
        <v>5833</v>
      </c>
      <c r="E230" s="46">
        <v>46125</v>
      </c>
      <c r="F230" s="26" t="s">
        <v>6222</v>
      </c>
      <c r="G230" s="26" t="s">
        <v>6224</v>
      </c>
      <c r="H230" s="26" t="s">
        <v>6223</v>
      </c>
      <c r="I230" s="26" t="s">
        <v>6225</v>
      </c>
      <c r="J230" s="26" t="s">
        <v>6224</v>
      </c>
      <c r="K230" s="27"/>
      <c r="L230" s="28" t="s">
        <v>6223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6098</v>
      </c>
      <c r="C231" s="25" t="s">
        <v>6099</v>
      </c>
      <c r="D231" s="23" t="s">
        <v>5833</v>
      </c>
      <c r="E231" s="46">
        <v>46125</v>
      </c>
      <c r="F231" s="26" t="s">
        <v>6222</v>
      </c>
      <c r="G231" s="26" t="s">
        <v>6224</v>
      </c>
      <c r="H231" s="26" t="s">
        <v>6223</v>
      </c>
      <c r="I231" s="26" t="s">
        <v>6225</v>
      </c>
      <c r="J231" s="26" t="s">
        <v>6224</v>
      </c>
      <c r="K231" s="27"/>
      <c r="L231" s="28" t="s">
        <v>6223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6100</v>
      </c>
      <c r="C232" s="44" t="s">
        <v>6101</v>
      </c>
      <c r="D232" s="42" t="s">
        <v>5833</v>
      </c>
      <c r="E232" s="46">
        <v>46125</v>
      </c>
      <c r="F232" s="26" t="s">
        <v>6222</v>
      </c>
      <c r="G232" s="26" t="s">
        <v>6224</v>
      </c>
      <c r="H232" s="26" t="s">
        <v>6223</v>
      </c>
      <c r="I232" s="26" t="s">
        <v>6225</v>
      </c>
      <c r="J232" s="26" t="s">
        <v>6224</v>
      </c>
      <c r="K232" s="27"/>
      <c r="L232" s="28" t="s">
        <v>6223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6102</v>
      </c>
      <c r="C233" s="25" t="s">
        <v>6103</v>
      </c>
      <c r="D233" s="23" t="s">
        <v>5833</v>
      </c>
      <c r="E233" s="46">
        <v>46125</v>
      </c>
      <c r="F233" s="26" t="s">
        <v>6222</v>
      </c>
      <c r="G233" s="26" t="s">
        <v>6224</v>
      </c>
      <c r="H233" s="26" t="s">
        <v>6223</v>
      </c>
      <c r="I233" s="26" t="s">
        <v>6225</v>
      </c>
      <c r="J233" s="26" t="s">
        <v>6224</v>
      </c>
      <c r="K233" s="27"/>
      <c r="L233" s="28" t="s">
        <v>6223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6104</v>
      </c>
      <c r="C234" s="44" t="s">
        <v>6105</v>
      </c>
      <c r="D234" s="42" t="s">
        <v>5833</v>
      </c>
      <c r="E234" s="46">
        <v>46125</v>
      </c>
      <c r="F234" s="26" t="s">
        <v>6222</v>
      </c>
      <c r="G234" s="26" t="s">
        <v>6224</v>
      </c>
      <c r="H234" s="26" t="s">
        <v>6223</v>
      </c>
      <c r="I234" s="26" t="s">
        <v>6225</v>
      </c>
      <c r="J234" s="26" t="s">
        <v>6224</v>
      </c>
      <c r="K234" s="27"/>
      <c r="L234" s="28" t="s">
        <v>6223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6106</v>
      </c>
      <c r="C235" s="25" t="s">
        <v>6107</v>
      </c>
      <c r="D235" s="23" t="s">
        <v>5833</v>
      </c>
      <c r="E235" s="46">
        <v>46125</v>
      </c>
      <c r="F235" s="26" t="s">
        <v>6222</v>
      </c>
      <c r="G235" s="26" t="s">
        <v>6224</v>
      </c>
      <c r="H235" s="26" t="s">
        <v>6223</v>
      </c>
      <c r="I235" s="26" t="s">
        <v>6225</v>
      </c>
      <c r="J235" s="26" t="s">
        <v>6224</v>
      </c>
      <c r="K235" s="27"/>
      <c r="L235" s="28" t="s">
        <v>6223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6108</v>
      </c>
      <c r="C236" s="44" t="s">
        <v>6109</v>
      </c>
      <c r="D236" s="42" t="s">
        <v>5833</v>
      </c>
      <c r="E236" s="46">
        <v>46125</v>
      </c>
      <c r="F236" s="26" t="s">
        <v>6222</v>
      </c>
      <c r="G236" s="26" t="s">
        <v>6224</v>
      </c>
      <c r="H236" s="26" t="s">
        <v>6223</v>
      </c>
      <c r="I236" s="26" t="s">
        <v>6225</v>
      </c>
      <c r="J236" s="26" t="s">
        <v>6224</v>
      </c>
      <c r="K236" s="27"/>
      <c r="L236" s="28" t="s">
        <v>6223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6110</v>
      </c>
      <c r="C237" s="25" t="s">
        <v>6111</v>
      </c>
      <c r="D237" s="23" t="s">
        <v>5833</v>
      </c>
      <c r="E237" s="46">
        <v>46125</v>
      </c>
      <c r="F237" s="26" t="s">
        <v>6222</v>
      </c>
      <c r="G237" s="26" t="s">
        <v>6224</v>
      </c>
      <c r="H237" s="26" t="s">
        <v>6223</v>
      </c>
      <c r="I237" s="26" t="s">
        <v>6225</v>
      </c>
      <c r="J237" s="26" t="s">
        <v>6224</v>
      </c>
      <c r="K237" s="27"/>
      <c r="L237" s="28" t="s">
        <v>6223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6112</v>
      </c>
      <c r="C238" s="44" t="s">
        <v>6113</v>
      </c>
      <c r="D238" s="42" t="s">
        <v>5833</v>
      </c>
      <c r="E238" s="46">
        <v>46125</v>
      </c>
      <c r="F238" s="26" t="s">
        <v>6222</v>
      </c>
      <c r="G238" s="26" t="s">
        <v>6224</v>
      </c>
      <c r="H238" s="26" t="s">
        <v>6223</v>
      </c>
      <c r="I238" s="26" t="s">
        <v>6225</v>
      </c>
      <c r="J238" s="26" t="s">
        <v>6224</v>
      </c>
      <c r="K238" s="27"/>
      <c r="L238" s="28" t="s">
        <v>6223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6114</v>
      </c>
      <c r="C239" s="25" t="s">
        <v>6115</v>
      </c>
      <c r="D239" s="23" t="s">
        <v>5833</v>
      </c>
      <c r="E239" s="46">
        <v>46125</v>
      </c>
      <c r="F239" s="26" t="s">
        <v>6222</v>
      </c>
      <c r="G239" s="26" t="s">
        <v>6224</v>
      </c>
      <c r="H239" s="26" t="s">
        <v>6223</v>
      </c>
      <c r="I239" s="26" t="s">
        <v>6225</v>
      </c>
      <c r="J239" s="26" t="s">
        <v>6224</v>
      </c>
      <c r="K239" s="27"/>
      <c r="L239" s="28" t="s">
        <v>6223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6116</v>
      </c>
      <c r="C240" s="44" t="s">
        <v>6117</v>
      </c>
      <c r="D240" s="42" t="s">
        <v>5833</v>
      </c>
      <c r="E240" s="46">
        <v>46125</v>
      </c>
      <c r="F240" s="26" t="s">
        <v>6222</v>
      </c>
      <c r="G240" s="26" t="s">
        <v>6224</v>
      </c>
      <c r="H240" s="26" t="s">
        <v>6223</v>
      </c>
      <c r="I240" s="26" t="s">
        <v>6225</v>
      </c>
      <c r="J240" s="26" t="s">
        <v>6224</v>
      </c>
      <c r="K240" s="27"/>
      <c r="L240" s="28" t="s">
        <v>6223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6118</v>
      </c>
      <c r="C241" s="25" t="s">
        <v>6119</v>
      </c>
      <c r="D241" s="23" t="s">
        <v>5833</v>
      </c>
      <c r="E241" s="46">
        <v>46125</v>
      </c>
      <c r="F241" s="26" t="s">
        <v>6222</v>
      </c>
      <c r="G241" s="26" t="s">
        <v>6224</v>
      </c>
      <c r="H241" s="26" t="s">
        <v>6223</v>
      </c>
      <c r="I241" s="26" t="s">
        <v>6225</v>
      </c>
      <c r="J241" s="26" t="s">
        <v>6224</v>
      </c>
      <c r="K241" s="27"/>
      <c r="L241" s="28" t="s">
        <v>6223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6120</v>
      </c>
      <c r="C242" s="44" t="s">
        <v>6121</v>
      </c>
      <c r="D242" s="42" t="s">
        <v>5833</v>
      </c>
      <c r="E242" s="46">
        <v>46125</v>
      </c>
      <c r="F242" s="26" t="s">
        <v>6222</v>
      </c>
      <c r="G242" s="26" t="s">
        <v>6224</v>
      </c>
      <c r="H242" s="26" t="s">
        <v>6223</v>
      </c>
      <c r="I242" s="26" t="s">
        <v>6225</v>
      </c>
      <c r="J242" s="26" t="s">
        <v>6224</v>
      </c>
      <c r="K242" s="27"/>
      <c r="L242" s="28" t="s">
        <v>6223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6122</v>
      </c>
      <c r="C243" s="25" t="s">
        <v>6123</v>
      </c>
      <c r="D243" s="23" t="s">
        <v>5833</v>
      </c>
      <c r="E243" s="46">
        <v>46125</v>
      </c>
      <c r="F243" s="26" t="s">
        <v>6222</v>
      </c>
      <c r="G243" s="26" t="s">
        <v>6224</v>
      </c>
      <c r="H243" s="26" t="s">
        <v>6223</v>
      </c>
      <c r="I243" s="26" t="s">
        <v>6225</v>
      </c>
      <c r="J243" s="26" t="s">
        <v>6224</v>
      </c>
      <c r="K243" s="27"/>
      <c r="L243" s="28" t="s">
        <v>6223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6124</v>
      </c>
      <c r="C244" s="44" t="s">
        <v>6125</v>
      </c>
      <c r="D244" s="42" t="s">
        <v>5833</v>
      </c>
      <c r="E244" s="46">
        <v>46125</v>
      </c>
      <c r="F244" s="26" t="s">
        <v>6222</v>
      </c>
      <c r="G244" s="26" t="s">
        <v>6224</v>
      </c>
      <c r="H244" s="26" t="s">
        <v>6223</v>
      </c>
      <c r="I244" s="26" t="s">
        <v>6225</v>
      </c>
      <c r="J244" s="26" t="s">
        <v>6224</v>
      </c>
      <c r="K244" s="27"/>
      <c r="L244" s="28" t="s">
        <v>6223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6126</v>
      </c>
      <c r="C245" s="25" t="s">
        <v>6127</v>
      </c>
      <c r="D245" s="23" t="s">
        <v>5833</v>
      </c>
      <c r="E245" s="46">
        <v>46125</v>
      </c>
      <c r="F245" s="26" t="s">
        <v>6222</v>
      </c>
      <c r="G245" s="26" t="s">
        <v>6224</v>
      </c>
      <c r="H245" s="26" t="s">
        <v>6223</v>
      </c>
      <c r="I245" s="26" t="s">
        <v>6225</v>
      </c>
      <c r="J245" s="26" t="s">
        <v>6224</v>
      </c>
      <c r="K245" s="27"/>
      <c r="L245" s="28" t="s">
        <v>6223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6128</v>
      </c>
      <c r="C246" s="44" t="s">
        <v>6129</v>
      </c>
      <c r="D246" s="42" t="s">
        <v>5833</v>
      </c>
      <c r="E246" s="46">
        <v>46125</v>
      </c>
      <c r="F246" s="26" t="s">
        <v>6222</v>
      </c>
      <c r="G246" s="26" t="s">
        <v>6224</v>
      </c>
      <c r="H246" s="26" t="s">
        <v>6223</v>
      </c>
      <c r="I246" s="26" t="s">
        <v>6225</v>
      </c>
      <c r="J246" s="26" t="s">
        <v>6224</v>
      </c>
      <c r="K246" s="27"/>
      <c r="L246" s="28" t="s">
        <v>6223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6130</v>
      </c>
      <c r="C247" s="25" t="s">
        <v>6131</v>
      </c>
      <c r="D247" s="23" t="s">
        <v>5833</v>
      </c>
      <c r="E247" s="46">
        <v>46125</v>
      </c>
      <c r="F247" s="26" t="s">
        <v>6222</v>
      </c>
      <c r="G247" s="26" t="s">
        <v>6224</v>
      </c>
      <c r="H247" s="26" t="s">
        <v>6223</v>
      </c>
      <c r="I247" s="26" t="s">
        <v>6225</v>
      </c>
      <c r="J247" s="26" t="s">
        <v>6224</v>
      </c>
      <c r="K247" s="27"/>
      <c r="L247" s="28" t="s">
        <v>6223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6132</v>
      </c>
      <c r="C248" s="44" t="s">
        <v>6133</v>
      </c>
      <c r="D248" s="42" t="s">
        <v>5833</v>
      </c>
      <c r="E248" s="46">
        <v>46125</v>
      </c>
      <c r="F248" s="26" t="s">
        <v>6222</v>
      </c>
      <c r="G248" s="26" t="s">
        <v>6224</v>
      </c>
      <c r="H248" s="26" t="s">
        <v>6223</v>
      </c>
      <c r="I248" s="26" t="s">
        <v>6225</v>
      </c>
      <c r="J248" s="26" t="s">
        <v>6224</v>
      </c>
      <c r="K248" s="27"/>
      <c r="L248" s="28" t="s">
        <v>6223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6134</v>
      </c>
      <c r="C249" s="25" t="s">
        <v>6135</v>
      </c>
      <c r="D249" s="23" t="s">
        <v>5833</v>
      </c>
      <c r="E249" s="46">
        <v>46125</v>
      </c>
      <c r="F249" s="26" t="s">
        <v>6222</v>
      </c>
      <c r="G249" s="26" t="s">
        <v>6224</v>
      </c>
      <c r="H249" s="26" t="s">
        <v>6223</v>
      </c>
      <c r="I249" s="26" t="s">
        <v>6225</v>
      </c>
      <c r="J249" s="26" t="s">
        <v>6224</v>
      </c>
      <c r="K249" s="27"/>
      <c r="L249" s="28" t="s">
        <v>6223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6136</v>
      </c>
      <c r="C250" s="44" t="s">
        <v>6137</v>
      </c>
      <c r="D250" s="42" t="s">
        <v>5833</v>
      </c>
      <c r="E250" s="46">
        <v>46125</v>
      </c>
      <c r="F250" s="26" t="s">
        <v>6222</v>
      </c>
      <c r="G250" s="26" t="s">
        <v>6224</v>
      </c>
      <c r="H250" s="26" t="s">
        <v>6223</v>
      </c>
      <c r="I250" s="26" t="s">
        <v>6225</v>
      </c>
      <c r="J250" s="26" t="s">
        <v>6224</v>
      </c>
      <c r="K250" s="27"/>
      <c r="L250" s="28" t="s">
        <v>6223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6138</v>
      </c>
      <c r="C251" s="25" t="s">
        <v>6139</v>
      </c>
      <c r="D251" s="23" t="s">
        <v>5833</v>
      </c>
      <c r="E251" s="46">
        <v>46125</v>
      </c>
      <c r="F251" s="26" t="s">
        <v>6222</v>
      </c>
      <c r="G251" s="26" t="s">
        <v>6224</v>
      </c>
      <c r="H251" s="26" t="s">
        <v>6223</v>
      </c>
      <c r="I251" s="26" t="s">
        <v>6225</v>
      </c>
      <c r="J251" s="26" t="s">
        <v>6224</v>
      </c>
      <c r="K251" s="27"/>
      <c r="L251" s="28" t="s">
        <v>6223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6140</v>
      </c>
      <c r="C252" s="44" t="s">
        <v>6141</v>
      </c>
      <c r="D252" s="42" t="s">
        <v>5833</v>
      </c>
      <c r="E252" s="46">
        <v>46125</v>
      </c>
      <c r="F252" s="26" t="s">
        <v>6222</v>
      </c>
      <c r="G252" s="26" t="s">
        <v>6224</v>
      </c>
      <c r="H252" s="26" t="s">
        <v>6223</v>
      </c>
      <c r="I252" s="26" t="s">
        <v>6225</v>
      </c>
      <c r="J252" s="26" t="s">
        <v>6224</v>
      </c>
      <c r="K252" s="27"/>
      <c r="L252" s="28" t="s">
        <v>6223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6142</v>
      </c>
      <c r="C253" s="25" t="s">
        <v>6143</v>
      </c>
      <c r="D253" s="23" t="s">
        <v>5833</v>
      </c>
      <c r="E253" s="46">
        <v>46125</v>
      </c>
      <c r="F253" s="26" t="s">
        <v>6222</v>
      </c>
      <c r="G253" s="26" t="s">
        <v>6224</v>
      </c>
      <c r="H253" s="26" t="s">
        <v>6223</v>
      </c>
      <c r="I253" s="26" t="s">
        <v>6225</v>
      </c>
      <c r="J253" s="26" t="s">
        <v>6224</v>
      </c>
      <c r="K253" s="27"/>
      <c r="L253" s="28" t="s">
        <v>6223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6144</v>
      </c>
      <c r="C254" s="44" t="s">
        <v>6145</v>
      </c>
      <c r="D254" s="42" t="s">
        <v>5833</v>
      </c>
      <c r="E254" s="46">
        <v>46125</v>
      </c>
      <c r="F254" s="26" t="s">
        <v>6222</v>
      </c>
      <c r="G254" s="26" t="s">
        <v>6224</v>
      </c>
      <c r="H254" s="26" t="s">
        <v>6223</v>
      </c>
      <c r="I254" s="26" t="s">
        <v>6225</v>
      </c>
      <c r="J254" s="26" t="s">
        <v>6224</v>
      </c>
      <c r="K254" s="27"/>
      <c r="L254" s="28" t="s">
        <v>6223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6146</v>
      </c>
      <c r="C255" s="25" t="s">
        <v>6147</v>
      </c>
      <c r="D255" s="23" t="s">
        <v>5833</v>
      </c>
      <c r="E255" s="46">
        <v>46125</v>
      </c>
      <c r="F255" s="26" t="s">
        <v>6222</v>
      </c>
      <c r="G255" s="26" t="s">
        <v>6224</v>
      </c>
      <c r="H255" s="26" t="s">
        <v>6223</v>
      </c>
      <c r="I255" s="26" t="s">
        <v>6225</v>
      </c>
      <c r="J255" s="26" t="s">
        <v>6224</v>
      </c>
      <c r="K255" s="27"/>
      <c r="L255" s="28" t="s">
        <v>6223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6148</v>
      </c>
      <c r="C256" s="44" t="s">
        <v>6149</v>
      </c>
      <c r="D256" s="42" t="s">
        <v>5833</v>
      </c>
      <c r="E256" s="46">
        <v>46125</v>
      </c>
      <c r="F256" s="26" t="s">
        <v>6222</v>
      </c>
      <c r="G256" s="26" t="s">
        <v>6224</v>
      </c>
      <c r="H256" s="26" t="s">
        <v>6223</v>
      </c>
      <c r="I256" s="26" t="s">
        <v>6225</v>
      </c>
      <c r="J256" s="26" t="s">
        <v>6224</v>
      </c>
      <c r="K256" s="27"/>
      <c r="L256" s="28" t="s">
        <v>6223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6150</v>
      </c>
      <c r="C257" s="25" t="s">
        <v>6151</v>
      </c>
      <c r="D257" s="23" t="s">
        <v>5833</v>
      </c>
      <c r="E257" s="46">
        <v>46125</v>
      </c>
      <c r="F257" s="26" t="s">
        <v>6222</v>
      </c>
      <c r="G257" s="26" t="s">
        <v>6224</v>
      </c>
      <c r="H257" s="26" t="s">
        <v>6223</v>
      </c>
      <c r="I257" s="26" t="s">
        <v>6225</v>
      </c>
      <c r="J257" s="26" t="s">
        <v>6224</v>
      </c>
      <c r="K257" s="27"/>
      <c r="L257" s="28" t="s">
        <v>6223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6152</v>
      </c>
      <c r="C258" s="44" t="s">
        <v>6153</v>
      </c>
      <c r="D258" s="42" t="s">
        <v>5833</v>
      </c>
      <c r="E258" s="46">
        <v>46125</v>
      </c>
      <c r="F258" s="26" t="s">
        <v>6222</v>
      </c>
      <c r="G258" s="26" t="s">
        <v>6224</v>
      </c>
      <c r="H258" s="26" t="s">
        <v>6223</v>
      </c>
      <c r="I258" s="26" t="s">
        <v>6225</v>
      </c>
      <c r="J258" s="26" t="s">
        <v>6224</v>
      </c>
      <c r="K258" s="27"/>
      <c r="L258" s="28" t="s">
        <v>6223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6154</v>
      </c>
      <c r="C259" s="25" t="s">
        <v>6155</v>
      </c>
      <c r="D259" s="23" t="s">
        <v>5833</v>
      </c>
      <c r="E259" s="46">
        <v>46125</v>
      </c>
      <c r="F259" s="26" t="s">
        <v>6222</v>
      </c>
      <c r="G259" s="26" t="s">
        <v>6224</v>
      </c>
      <c r="H259" s="26" t="s">
        <v>6223</v>
      </c>
      <c r="I259" s="26" t="s">
        <v>6225</v>
      </c>
      <c r="J259" s="26" t="s">
        <v>6224</v>
      </c>
      <c r="K259" s="27"/>
      <c r="L259" s="28" t="s">
        <v>6223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6156</v>
      </c>
      <c r="C260" s="44" t="s">
        <v>6157</v>
      </c>
      <c r="D260" s="42" t="s">
        <v>5833</v>
      </c>
      <c r="E260" s="46">
        <v>46125</v>
      </c>
      <c r="F260" s="26" t="s">
        <v>6222</v>
      </c>
      <c r="G260" s="26" t="s">
        <v>6224</v>
      </c>
      <c r="H260" s="26" t="s">
        <v>6223</v>
      </c>
      <c r="I260" s="26" t="s">
        <v>6225</v>
      </c>
      <c r="J260" s="26" t="s">
        <v>6224</v>
      </c>
      <c r="K260" s="27"/>
      <c r="L260" s="28" t="s">
        <v>6223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6158</v>
      </c>
      <c r="C261" s="25" t="s">
        <v>6159</v>
      </c>
      <c r="D261" s="23" t="s">
        <v>5833</v>
      </c>
      <c r="E261" s="46">
        <v>46125</v>
      </c>
      <c r="F261" s="26" t="s">
        <v>6222</v>
      </c>
      <c r="G261" s="26" t="s">
        <v>6224</v>
      </c>
      <c r="H261" s="26" t="s">
        <v>6223</v>
      </c>
      <c r="I261" s="26" t="s">
        <v>6225</v>
      </c>
      <c r="J261" s="26" t="s">
        <v>6224</v>
      </c>
      <c r="K261" s="27"/>
      <c r="L261" s="28" t="s">
        <v>6223</v>
      </c>
      <c r="M261" s="29" t="str">
        <f t="shared" ref="M261:M292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2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2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2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2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6160</v>
      </c>
      <c r="C262" s="44" t="s">
        <v>6161</v>
      </c>
      <c r="D262" s="42" t="s">
        <v>5833</v>
      </c>
      <c r="E262" s="46">
        <v>46125</v>
      </c>
      <c r="F262" s="26" t="s">
        <v>6222</v>
      </c>
      <c r="G262" s="26" t="s">
        <v>6224</v>
      </c>
      <c r="H262" s="26" t="s">
        <v>6223</v>
      </c>
      <c r="I262" s="26" t="s">
        <v>6225</v>
      </c>
      <c r="J262" s="26" t="s">
        <v>6224</v>
      </c>
      <c r="K262" s="27"/>
      <c r="L262" s="28" t="s">
        <v>6223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6162</v>
      </c>
      <c r="C263" s="25" t="s">
        <v>6163</v>
      </c>
      <c r="D263" s="23" t="s">
        <v>5833</v>
      </c>
      <c r="E263" s="46">
        <v>46125</v>
      </c>
      <c r="F263" s="26" t="s">
        <v>6222</v>
      </c>
      <c r="G263" s="26" t="s">
        <v>6224</v>
      </c>
      <c r="H263" s="26" t="s">
        <v>6223</v>
      </c>
      <c r="I263" s="26" t="s">
        <v>6225</v>
      </c>
      <c r="J263" s="26" t="s">
        <v>6224</v>
      </c>
      <c r="K263" s="27"/>
      <c r="L263" s="28" t="s">
        <v>6223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6164</v>
      </c>
      <c r="C264" s="44" t="s">
        <v>6165</v>
      </c>
      <c r="D264" s="42" t="s">
        <v>5833</v>
      </c>
      <c r="E264" s="46">
        <v>46125</v>
      </c>
      <c r="F264" s="26" t="s">
        <v>6222</v>
      </c>
      <c r="G264" s="26" t="s">
        <v>6224</v>
      </c>
      <c r="H264" s="26" t="s">
        <v>6223</v>
      </c>
      <c r="I264" s="26" t="s">
        <v>6225</v>
      </c>
      <c r="J264" s="26" t="s">
        <v>6224</v>
      </c>
      <c r="K264" s="27"/>
      <c r="L264" s="28" t="s">
        <v>6223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6166</v>
      </c>
      <c r="C265" s="25" t="s">
        <v>6167</v>
      </c>
      <c r="D265" s="23" t="s">
        <v>5833</v>
      </c>
      <c r="E265" s="46">
        <v>46125</v>
      </c>
      <c r="F265" s="26" t="s">
        <v>6222</v>
      </c>
      <c r="G265" s="26" t="s">
        <v>6224</v>
      </c>
      <c r="H265" s="26" t="s">
        <v>6223</v>
      </c>
      <c r="I265" s="26" t="s">
        <v>6225</v>
      </c>
      <c r="J265" s="26" t="s">
        <v>6224</v>
      </c>
      <c r="K265" s="27"/>
      <c r="L265" s="28" t="s">
        <v>6223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6168</v>
      </c>
      <c r="C266" s="44" t="s">
        <v>6169</v>
      </c>
      <c r="D266" s="42" t="s">
        <v>5833</v>
      </c>
      <c r="E266" s="46">
        <v>46125</v>
      </c>
      <c r="F266" s="26" t="s">
        <v>6222</v>
      </c>
      <c r="G266" s="26" t="s">
        <v>6224</v>
      </c>
      <c r="H266" s="26" t="s">
        <v>6223</v>
      </c>
      <c r="I266" s="26" t="s">
        <v>6225</v>
      </c>
      <c r="J266" s="26" t="s">
        <v>6224</v>
      </c>
      <c r="K266" s="27"/>
      <c r="L266" s="28" t="s">
        <v>6223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6170</v>
      </c>
      <c r="C267" s="25" t="s">
        <v>6171</v>
      </c>
      <c r="D267" s="23" t="s">
        <v>5833</v>
      </c>
      <c r="E267" s="46">
        <v>46125</v>
      </c>
      <c r="F267" s="26" t="s">
        <v>6222</v>
      </c>
      <c r="G267" s="26" t="s">
        <v>6224</v>
      </c>
      <c r="H267" s="26" t="s">
        <v>6223</v>
      </c>
      <c r="I267" s="26" t="s">
        <v>6225</v>
      </c>
      <c r="J267" s="26" t="s">
        <v>6224</v>
      </c>
      <c r="K267" s="27"/>
      <c r="L267" s="28" t="s">
        <v>6223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6172</v>
      </c>
      <c r="C268" s="44" t="s">
        <v>6173</v>
      </c>
      <c r="D268" s="42" t="s">
        <v>5833</v>
      </c>
      <c r="E268" s="46">
        <v>46125</v>
      </c>
      <c r="F268" s="26" t="s">
        <v>6222</v>
      </c>
      <c r="G268" s="26" t="s">
        <v>6224</v>
      </c>
      <c r="H268" s="26" t="s">
        <v>6223</v>
      </c>
      <c r="I268" s="26" t="s">
        <v>6225</v>
      </c>
      <c r="J268" s="26" t="s">
        <v>6224</v>
      </c>
      <c r="K268" s="27"/>
      <c r="L268" s="28" t="s">
        <v>6223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6174</v>
      </c>
      <c r="C269" s="25" t="s">
        <v>6175</v>
      </c>
      <c r="D269" s="23" t="s">
        <v>5833</v>
      </c>
      <c r="E269" s="46">
        <v>46125</v>
      </c>
      <c r="F269" s="26" t="s">
        <v>6222</v>
      </c>
      <c r="G269" s="26" t="s">
        <v>6224</v>
      </c>
      <c r="H269" s="26" t="s">
        <v>6223</v>
      </c>
      <c r="I269" s="26" t="s">
        <v>6225</v>
      </c>
      <c r="J269" s="26" t="s">
        <v>6224</v>
      </c>
      <c r="K269" s="27"/>
      <c r="L269" s="28" t="s">
        <v>6223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6176</v>
      </c>
      <c r="C270" s="44" t="s">
        <v>6177</v>
      </c>
      <c r="D270" s="42" t="s">
        <v>5833</v>
      </c>
      <c r="E270" s="46">
        <v>46125</v>
      </c>
      <c r="F270" s="26" t="s">
        <v>6222</v>
      </c>
      <c r="G270" s="26" t="s">
        <v>6224</v>
      </c>
      <c r="H270" s="26" t="s">
        <v>6223</v>
      </c>
      <c r="I270" s="26" t="s">
        <v>6225</v>
      </c>
      <c r="J270" s="26" t="s">
        <v>6224</v>
      </c>
      <c r="K270" s="27"/>
      <c r="L270" s="28" t="s">
        <v>6223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6178</v>
      </c>
      <c r="C271" s="25" t="s">
        <v>6179</v>
      </c>
      <c r="D271" s="23" t="s">
        <v>5833</v>
      </c>
      <c r="E271" s="46">
        <v>46125</v>
      </c>
      <c r="F271" s="26" t="s">
        <v>6222</v>
      </c>
      <c r="G271" s="26" t="s">
        <v>6224</v>
      </c>
      <c r="H271" s="26" t="s">
        <v>6223</v>
      </c>
      <c r="I271" s="26" t="s">
        <v>6225</v>
      </c>
      <c r="J271" s="26" t="s">
        <v>6224</v>
      </c>
      <c r="K271" s="27"/>
      <c r="L271" s="28" t="s">
        <v>6223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6180</v>
      </c>
      <c r="C272" s="44" t="s">
        <v>6181</v>
      </c>
      <c r="D272" s="42" t="s">
        <v>5833</v>
      </c>
      <c r="E272" s="46">
        <v>46125</v>
      </c>
      <c r="F272" s="26" t="s">
        <v>6222</v>
      </c>
      <c r="G272" s="26" t="s">
        <v>6224</v>
      </c>
      <c r="H272" s="26" t="s">
        <v>6223</v>
      </c>
      <c r="I272" s="26" t="s">
        <v>6225</v>
      </c>
      <c r="J272" s="26" t="s">
        <v>6224</v>
      </c>
      <c r="K272" s="27"/>
      <c r="L272" s="28" t="s">
        <v>6223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6182</v>
      </c>
      <c r="C273" s="25" t="s">
        <v>6183</v>
      </c>
      <c r="D273" s="23" t="s">
        <v>5833</v>
      </c>
      <c r="E273" s="46">
        <v>46125</v>
      </c>
      <c r="F273" s="26" t="s">
        <v>6222</v>
      </c>
      <c r="G273" s="26" t="s">
        <v>6224</v>
      </c>
      <c r="H273" s="26" t="s">
        <v>6223</v>
      </c>
      <c r="I273" s="26" t="s">
        <v>6225</v>
      </c>
      <c r="J273" s="26" t="s">
        <v>6224</v>
      </c>
      <c r="K273" s="27"/>
      <c r="L273" s="28" t="s">
        <v>6223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6184</v>
      </c>
      <c r="C274" s="44" t="s">
        <v>6185</v>
      </c>
      <c r="D274" s="42" t="s">
        <v>5833</v>
      </c>
      <c r="E274" s="46">
        <v>46125</v>
      </c>
      <c r="F274" s="26" t="s">
        <v>6222</v>
      </c>
      <c r="G274" s="26" t="s">
        <v>6224</v>
      </c>
      <c r="H274" s="26" t="s">
        <v>6223</v>
      </c>
      <c r="I274" s="26" t="s">
        <v>6225</v>
      </c>
      <c r="J274" s="26" t="s">
        <v>6224</v>
      </c>
      <c r="K274" s="27"/>
      <c r="L274" s="28" t="s">
        <v>6223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6186</v>
      </c>
      <c r="C275" s="25" t="s">
        <v>6187</v>
      </c>
      <c r="D275" s="23" t="s">
        <v>5833</v>
      </c>
      <c r="E275" s="46">
        <v>46125</v>
      </c>
      <c r="F275" s="26" t="s">
        <v>6222</v>
      </c>
      <c r="G275" s="26" t="s">
        <v>6224</v>
      </c>
      <c r="H275" s="26" t="s">
        <v>6223</v>
      </c>
      <c r="I275" s="26" t="s">
        <v>6225</v>
      </c>
      <c r="J275" s="26" t="s">
        <v>6224</v>
      </c>
      <c r="K275" s="27"/>
      <c r="L275" s="28" t="s">
        <v>6223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6188</v>
      </c>
      <c r="C276" s="44" t="s">
        <v>6189</v>
      </c>
      <c r="D276" s="42" t="s">
        <v>5833</v>
      </c>
      <c r="E276" s="46">
        <v>46125</v>
      </c>
      <c r="F276" s="26" t="s">
        <v>6222</v>
      </c>
      <c r="G276" s="26" t="s">
        <v>6224</v>
      </c>
      <c r="H276" s="26" t="s">
        <v>6223</v>
      </c>
      <c r="I276" s="26" t="s">
        <v>6225</v>
      </c>
      <c r="J276" s="26" t="s">
        <v>6224</v>
      </c>
      <c r="K276" s="27"/>
      <c r="L276" s="28" t="s">
        <v>6223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6190</v>
      </c>
      <c r="C277" s="25" t="s">
        <v>6191</v>
      </c>
      <c r="D277" s="23" t="s">
        <v>5833</v>
      </c>
      <c r="E277" s="46">
        <v>46125</v>
      </c>
      <c r="F277" s="26" t="s">
        <v>6222</v>
      </c>
      <c r="G277" s="26" t="s">
        <v>6224</v>
      </c>
      <c r="H277" s="26" t="s">
        <v>6223</v>
      </c>
      <c r="I277" s="26" t="s">
        <v>6225</v>
      </c>
      <c r="J277" s="26" t="s">
        <v>6224</v>
      </c>
      <c r="K277" s="27"/>
      <c r="L277" s="28" t="s">
        <v>6223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6192</v>
      </c>
      <c r="C278" s="44" t="s">
        <v>6193</v>
      </c>
      <c r="D278" s="42" t="s">
        <v>5833</v>
      </c>
      <c r="E278" s="46">
        <v>46125</v>
      </c>
      <c r="F278" s="26" t="s">
        <v>6222</v>
      </c>
      <c r="G278" s="26" t="s">
        <v>6224</v>
      </c>
      <c r="H278" s="26" t="s">
        <v>6223</v>
      </c>
      <c r="I278" s="26" t="s">
        <v>6225</v>
      </c>
      <c r="J278" s="26" t="s">
        <v>6224</v>
      </c>
      <c r="K278" s="27"/>
      <c r="L278" s="28" t="s">
        <v>6223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6194</v>
      </c>
      <c r="C279" s="25" t="s">
        <v>6195</v>
      </c>
      <c r="D279" s="23" t="s">
        <v>5833</v>
      </c>
      <c r="E279" s="46">
        <v>46125</v>
      </c>
      <c r="F279" s="26" t="s">
        <v>6222</v>
      </c>
      <c r="G279" s="26" t="s">
        <v>6224</v>
      </c>
      <c r="H279" s="26" t="s">
        <v>6223</v>
      </c>
      <c r="I279" s="26" t="s">
        <v>6225</v>
      </c>
      <c r="J279" s="26" t="s">
        <v>6224</v>
      </c>
      <c r="K279" s="27"/>
      <c r="L279" s="28" t="s">
        <v>6223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6196</v>
      </c>
      <c r="C280" s="44" t="s">
        <v>6197</v>
      </c>
      <c r="D280" s="42" t="s">
        <v>5833</v>
      </c>
      <c r="E280" s="46">
        <v>46125</v>
      </c>
      <c r="F280" s="26" t="s">
        <v>6222</v>
      </c>
      <c r="G280" s="26" t="s">
        <v>6224</v>
      </c>
      <c r="H280" s="26" t="s">
        <v>6223</v>
      </c>
      <c r="I280" s="26" t="s">
        <v>6225</v>
      </c>
      <c r="J280" s="26" t="s">
        <v>6224</v>
      </c>
      <c r="K280" s="27"/>
      <c r="L280" s="28" t="s">
        <v>6223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6198</v>
      </c>
      <c r="C281" s="25" t="s">
        <v>6199</v>
      </c>
      <c r="D281" s="23" t="s">
        <v>5833</v>
      </c>
      <c r="E281" s="46">
        <v>46125</v>
      </c>
      <c r="F281" s="26" t="s">
        <v>6222</v>
      </c>
      <c r="G281" s="26" t="s">
        <v>6224</v>
      </c>
      <c r="H281" s="26" t="s">
        <v>6223</v>
      </c>
      <c r="I281" s="26" t="s">
        <v>6225</v>
      </c>
      <c r="J281" s="26" t="s">
        <v>6224</v>
      </c>
      <c r="K281" s="27"/>
      <c r="L281" s="28" t="s">
        <v>6223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6200</v>
      </c>
      <c r="C282" s="44" t="s">
        <v>6201</v>
      </c>
      <c r="D282" s="42" t="s">
        <v>5833</v>
      </c>
      <c r="E282" s="46">
        <v>46125</v>
      </c>
      <c r="F282" s="26" t="s">
        <v>6222</v>
      </c>
      <c r="G282" s="26" t="s">
        <v>6224</v>
      </c>
      <c r="H282" s="26" t="s">
        <v>6223</v>
      </c>
      <c r="I282" s="26" t="s">
        <v>6225</v>
      </c>
      <c r="J282" s="26" t="s">
        <v>6224</v>
      </c>
      <c r="K282" s="27"/>
      <c r="L282" s="28" t="s">
        <v>6223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6202</v>
      </c>
      <c r="C283" s="25" t="s">
        <v>6203</v>
      </c>
      <c r="D283" s="23" t="s">
        <v>5833</v>
      </c>
      <c r="E283" s="46">
        <v>46125</v>
      </c>
      <c r="F283" s="26" t="s">
        <v>6222</v>
      </c>
      <c r="G283" s="26" t="s">
        <v>6224</v>
      </c>
      <c r="H283" s="26" t="s">
        <v>6223</v>
      </c>
      <c r="I283" s="26" t="s">
        <v>6225</v>
      </c>
      <c r="J283" s="26" t="s">
        <v>6224</v>
      </c>
      <c r="K283" s="27"/>
      <c r="L283" s="28" t="s">
        <v>6223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6204</v>
      </c>
      <c r="C284" s="44" t="s">
        <v>6205</v>
      </c>
      <c r="D284" s="42" t="s">
        <v>5833</v>
      </c>
      <c r="E284" s="46">
        <v>46125</v>
      </c>
      <c r="F284" s="26" t="s">
        <v>6222</v>
      </c>
      <c r="G284" s="26" t="s">
        <v>6224</v>
      </c>
      <c r="H284" s="26" t="s">
        <v>6223</v>
      </c>
      <c r="I284" s="26" t="s">
        <v>6225</v>
      </c>
      <c r="J284" s="26" t="s">
        <v>6224</v>
      </c>
      <c r="K284" s="27"/>
      <c r="L284" s="28" t="s">
        <v>6223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6206</v>
      </c>
      <c r="C285" s="25" t="s">
        <v>6207</v>
      </c>
      <c r="D285" s="23" t="s">
        <v>5833</v>
      </c>
      <c r="E285" s="46">
        <v>46125</v>
      </c>
      <c r="F285" s="26" t="s">
        <v>6222</v>
      </c>
      <c r="G285" s="26" t="s">
        <v>6224</v>
      </c>
      <c r="H285" s="26" t="s">
        <v>6223</v>
      </c>
      <c r="I285" s="26" t="s">
        <v>6225</v>
      </c>
      <c r="J285" s="26" t="s">
        <v>6224</v>
      </c>
      <c r="K285" s="27"/>
      <c r="L285" s="28" t="s">
        <v>6223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6208</v>
      </c>
      <c r="C286" s="44" t="s">
        <v>6209</v>
      </c>
      <c r="D286" s="42" t="s">
        <v>5833</v>
      </c>
      <c r="E286" s="46">
        <v>46125</v>
      </c>
      <c r="F286" s="26" t="s">
        <v>6222</v>
      </c>
      <c r="G286" s="26" t="s">
        <v>6224</v>
      </c>
      <c r="H286" s="26" t="s">
        <v>6223</v>
      </c>
      <c r="I286" s="26" t="s">
        <v>6225</v>
      </c>
      <c r="J286" s="26" t="s">
        <v>6224</v>
      </c>
      <c r="K286" s="27"/>
      <c r="L286" s="28" t="s">
        <v>6223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6210</v>
      </c>
      <c r="C287" s="25" t="s">
        <v>6211</v>
      </c>
      <c r="D287" s="23" t="s">
        <v>5833</v>
      </c>
      <c r="E287" s="46">
        <v>46125</v>
      </c>
      <c r="F287" s="26" t="s">
        <v>6222</v>
      </c>
      <c r="G287" s="26" t="s">
        <v>6224</v>
      </c>
      <c r="H287" s="26" t="s">
        <v>6223</v>
      </c>
      <c r="I287" s="26" t="s">
        <v>6225</v>
      </c>
      <c r="J287" s="26" t="s">
        <v>6224</v>
      </c>
      <c r="K287" s="27"/>
      <c r="L287" s="28" t="s">
        <v>6223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6212</v>
      </c>
      <c r="C288" s="44" t="s">
        <v>6213</v>
      </c>
      <c r="D288" s="42" t="s">
        <v>5833</v>
      </c>
      <c r="E288" s="46">
        <v>46125</v>
      </c>
      <c r="F288" s="26" t="s">
        <v>6222</v>
      </c>
      <c r="G288" s="26" t="s">
        <v>6224</v>
      </c>
      <c r="H288" s="26" t="s">
        <v>6223</v>
      </c>
      <c r="I288" s="26" t="s">
        <v>6225</v>
      </c>
      <c r="J288" s="26" t="s">
        <v>6224</v>
      </c>
      <c r="K288" s="27"/>
      <c r="L288" s="28" t="s">
        <v>6223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6214</v>
      </c>
      <c r="C289" s="25" t="s">
        <v>6215</v>
      </c>
      <c r="D289" s="23" t="s">
        <v>5833</v>
      </c>
      <c r="E289" s="46">
        <v>46125</v>
      </c>
      <c r="F289" s="26" t="s">
        <v>6222</v>
      </c>
      <c r="G289" s="26" t="s">
        <v>6224</v>
      </c>
      <c r="H289" s="26" t="s">
        <v>6223</v>
      </c>
      <c r="I289" s="26" t="s">
        <v>6225</v>
      </c>
      <c r="J289" s="26" t="s">
        <v>6224</v>
      </c>
      <c r="K289" s="27"/>
      <c r="L289" s="28" t="s">
        <v>6223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6216</v>
      </c>
      <c r="C290" s="44" t="s">
        <v>6217</v>
      </c>
      <c r="D290" s="42" t="s">
        <v>5833</v>
      </c>
      <c r="E290" s="46">
        <v>46125</v>
      </c>
      <c r="F290" s="26" t="s">
        <v>6222</v>
      </c>
      <c r="G290" s="26" t="s">
        <v>6224</v>
      </c>
      <c r="H290" s="26" t="s">
        <v>6223</v>
      </c>
      <c r="I290" s="26" t="s">
        <v>6225</v>
      </c>
      <c r="J290" s="26" t="s">
        <v>6224</v>
      </c>
      <c r="K290" s="27"/>
      <c r="L290" s="28" t="s">
        <v>6223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6218</v>
      </c>
      <c r="C291" s="25" t="s">
        <v>6219</v>
      </c>
      <c r="D291" s="23" t="s">
        <v>5833</v>
      </c>
      <c r="E291" s="46">
        <v>46125</v>
      </c>
      <c r="F291" s="26" t="s">
        <v>6222</v>
      </c>
      <c r="G291" s="26" t="s">
        <v>6224</v>
      </c>
      <c r="H291" s="26" t="s">
        <v>6223</v>
      </c>
      <c r="I291" s="26" t="s">
        <v>6225</v>
      </c>
      <c r="J291" s="26" t="s">
        <v>6224</v>
      </c>
      <c r="K291" s="27"/>
      <c r="L291" s="28" t="s">
        <v>6223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6220</v>
      </c>
      <c r="C292" s="44" t="s">
        <v>6221</v>
      </c>
      <c r="D292" s="42" t="s">
        <v>5833</v>
      </c>
      <c r="E292" s="46">
        <v>46125</v>
      </c>
      <c r="F292" s="26" t="s">
        <v>6222</v>
      </c>
      <c r="G292" s="26" t="s">
        <v>6224</v>
      </c>
      <c r="H292" s="26" t="s">
        <v>6223</v>
      </c>
      <c r="I292" s="26" t="s">
        <v>6225</v>
      </c>
      <c r="J292" s="26" t="s">
        <v>6224</v>
      </c>
      <c r="K292" s="27"/>
      <c r="L292" s="28" t="s">
        <v>6223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92">
    <cfRule type="expression" dxfId="46" priority="8">
      <formula>G5="Yes"</formula>
    </cfRule>
    <cfRule type="expression" dxfId="45" priority="9">
      <formula>G5="No"</formula>
    </cfRule>
  </conditionalFormatting>
  <conditionalFormatting sqref="H5:H292">
    <cfRule type="expression" dxfId="44" priority="10">
      <formula>H5="Yes"</formula>
    </cfRule>
  </conditionalFormatting>
  <conditionalFormatting sqref="I5:L292">
    <cfRule type="expression" dxfId="43" priority="3">
      <formula>MOD(ROW(),2)=0</formula>
    </cfRule>
  </conditionalFormatting>
  <conditionalFormatting sqref="J5:J292">
    <cfRule type="expression" dxfId="42" priority="1">
      <formula>J5="Yes"</formula>
    </cfRule>
    <cfRule type="expression" dxfId="41" priority="2">
      <formula>J5="No"</formula>
    </cfRule>
  </conditionalFormatting>
  <conditionalFormatting sqref="M5:M292">
    <cfRule type="expression" dxfId="40" priority="4">
      <formula>M5="✓ OK"</formula>
    </cfRule>
    <cfRule type="expression" dxfId="39" priority="5">
      <formula>M5="❌ Disc"</formula>
    </cfRule>
    <cfRule type="expression" dxfId="38" priority="6">
      <formula>M5="⚠ Missing"</formula>
    </cfRule>
    <cfRule type="expression" dxfId="37" priority="7">
      <formula>M5="⚠ Check"</formula>
    </cfRule>
  </conditionalFormatting>
  <conditionalFormatting sqref="M5:AW292 A5:H292">
    <cfRule type="expression" dxfId="36" priority="49">
      <formula>MOD(ROW(),2)=0</formula>
    </cfRule>
  </conditionalFormatting>
  <conditionalFormatting sqref="P5:P292">
    <cfRule type="expression" dxfId="35" priority="17">
      <formula>P5="Yes"</formula>
    </cfRule>
    <cfRule type="expression" dxfId="34" priority="18">
      <formula>P5="No"</formula>
    </cfRule>
  </conditionalFormatting>
  <conditionalFormatting sqref="Q5:Q292">
    <cfRule type="expression" dxfId="33" priority="19">
      <formula>Q5="Yes"</formula>
    </cfRule>
  </conditionalFormatting>
  <conditionalFormatting sqref="S5:S292">
    <cfRule type="expression" dxfId="32" priority="20">
      <formula>S5="Yes"</formula>
    </cfRule>
    <cfRule type="expression" dxfId="31" priority="21">
      <formula>S5="No"</formula>
    </cfRule>
  </conditionalFormatting>
  <conditionalFormatting sqref="V5:V292">
    <cfRule type="expression" dxfId="30" priority="13">
      <formula>V5="✓ OK"</formula>
    </cfRule>
    <cfRule type="expression" dxfId="29" priority="14">
      <formula>V5="❌ Disc"</formula>
    </cfRule>
    <cfRule type="expression" dxfId="28" priority="15">
      <formula>V5="⚠ Missing"</formula>
    </cfRule>
    <cfRule type="expression" dxfId="27" priority="16">
      <formula>V5="⚠ Check"</formula>
    </cfRule>
  </conditionalFormatting>
  <conditionalFormatting sqref="Y5:Y292">
    <cfRule type="expression" dxfId="26" priority="27">
      <formula>Y5="No"</formula>
    </cfRule>
    <cfRule type="expression" dxfId="25" priority="26">
      <formula>Y5="Yes"</formula>
    </cfRule>
  </conditionalFormatting>
  <conditionalFormatting sqref="Z5:Z292">
    <cfRule type="expression" dxfId="24" priority="28">
      <formula>Z5="Yes"</formula>
    </cfRule>
  </conditionalFormatting>
  <conditionalFormatting sqref="AB5:AB292">
    <cfRule type="expression" dxfId="23" priority="29">
      <formula>AB5="Yes"</formula>
    </cfRule>
    <cfRule type="expression" dxfId="22" priority="30">
      <formula>AB5="No"</formula>
    </cfRule>
  </conditionalFormatting>
  <conditionalFormatting sqref="AE5:AE292">
    <cfRule type="expression" dxfId="21" priority="22">
      <formula>AE5="✓ OK"</formula>
    </cfRule>
    <cfRule type="expression" dxfId="20" priority="23">
      <formula>AE5="❌ Disc"</formula>
    </cfRule>
    <cfRule type="expression" dxfId="19" priority="24">
      <formula>AE5="⚠ Missing"</formula>
    </cfRule>
    <cfRule type="expression" dxfId="18" priority="25">
      <formula>AE5="⚠ Check"</formula>
    </cfRule>
  </conditionalFormatting>
  <conditionalFormatting sqref="AH5:AH292">
    <cfRule type="expression" dxfId="17" priority="35">
      <formula>AH5="Yes"</formula>
    </cfRule>
    <cfRule type="expression" dxfId="16" priority="36">
      <formula>AH5="No"</formula>
    </cfRule>
  </conditionalFormatting>
  <conditionalFormatting sqref="AI5:AI292">
    <cfRule type="expression" dxfId="15" priority="37">
      <formula>AI5="Yes"</formula>
    </cfRule>
  </conditionalFormatting>
  <conditionalFormatting sqref="AK5:AK292">
    <cfRule type="expression" dxfId="14" priority="38">
      <formula>AK5="Yes"</formula>
    </cfRule>
    <cfRule type="expression" dxfId="13" priority="39">
      <formula>AK5="No"</formula>
    </cfRule>
  </conditionalFormatting>
  <conditionalFormatting sqref="AN5:AN292">
    <cfRule type="expression" dxfId="12" priority="31">
      <formula>AN5="✓ OK"</formula>
    </cfRule>
    <cfRule type="expression" dxfId="11" priority="32">
      <formula>AN5="❌ Disc"</formula>
    </cfRule>
    <cfRule type="expression" dxfId="10" priority="33">
      <formula>AN5="⚠ Missing"</formula>
    </cfRule>
    <cfRule type="expression" dxfId="9" priority="34">
      <formula>AN5="⚠ Check"</formula>
    </cfRule>
  </conditionalFormatting>
  <conditionalFormatting sqref="AQ5:AQ292">
    <cfRule type="expression" dxfId="8" priority="45">
      <formula>AQ5="No"</formula>
    </cfRule>
    <cfRule type="expression" dxfId="7" priority="44">
      <formula>AQ5="Yes"</formula>
    </cfRule>
  </conditionalFormatting>
  <conditionalFormatting sqref="AR5:AR292">
    <cfRule type="expression" dxfId="6" priority="46">
      <formula>AR5="Yes"</formula>
    </cfRule>
  </conditionalFormatting>
  <conditionalFormatting sqref="AT5:AT292">
    <cfRule type="expression" dxfId="5" priority="47">
      <formula>AT5="Yes"</formula>
    </cfRule>
    <cfRule type="expression" dxfId="4" priority="48">
      <formula>AT5="No"</formula>
    </cfRule>
  </conditionalFormatting>
  <conditionalFormatting sqref="AW5:AW292">
    <cfRule type="expression" dxfId="3" priority="40">
      <formula>AW5="✓ OK"</formula>
    </cfRule>
    <cfRule type="expression" dxfId="2" priority="41">
      <formula>AW5="❌ Disc"</formula>
    </cfRule>
    <cfRule type="expression" dxfId="1" priority="42">
      <formula>AW5="⚠ Missing"</formula>
    </cfRule>
    <cfRule type="expression" dxfId="0" priority="43">
      <formula>AW5="⚠ Check"</formula>
    </cfRule>
  </conditionalFormatting>
  <dataValidations count="2">
    <dataValidation type="list" allowBlank="1" sqref="AT5:AT292 AQ5:AR292 AK5:AK292 AH5:AI292 AB5:AB292 Y5:Z292 S5:S292 P5:Q292 G5:H292 J5:J292" xr:uid="{00000000-0002-0000-0C00-000000000000}">
      <formula1>"Yes,No"</formula1>
    </dataValidation>
    <dataValidation type="list" allowBlank="1" sqref="R5:R292 AS5:AS292 AJ5:AJ292 AA5:AA292 I5:I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2026-04-11T04:40:02Z</dcterms:created>
  <dcterms:modified xsi:type="dcterms:W3CDTF">2026-04-13T12:57:08Z</dcterms:modified>
  <cp:category/>
  <cp:contentStatus/>
</cp:coreProperties>
</file>